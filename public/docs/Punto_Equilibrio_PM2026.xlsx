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perlamaldonado/Documents/PERLA TOOLS/"/>
    </mc:Choice>
  </mc:AlternateContent>
  <xr:revisionPtr revIDLastSave="0" documentId="8_{6C63E40B-C445-844D-A8DC-EE86CC65EB4A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Empieza aqui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/>
  <c r="F42" i="1"/>
  <c r="F67" i="1"/>
  <c r="E67" i="1"/>
  <c r="D67" i="1"/>
  <c r="C67" i="1"/>
  <c r="B67" i="1"/>
  <c r="L66" i="1"/>
  <c r="F66" i="1"/>
  <c r="E66" i="1"/>
  <c r="D66" i="1"/>
  <c r="C66" i="1"/>
  <c r="B66" i="1"/>
  <c r="F65" i="1"/>
  <c r="E65" i="1"/>
  <c r="D65" i="1"/>
  <c r="C65" i="1"/>
  <c r="B65" i="1"/>
  <c r="F55" i="1"/>
  <c r="F53" i="1"/>
  <c r="F52" i="1"/>
  <c r="F51" i="1"/>
  <c r="B45" i="1"/>
  <c r="L39" i="1"/>
  <c r="L37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37" i="1"/>
  <c r="L25" i="1"/>
  <c r="L36" i="1"/>
  <c r="F36" i="1"/>
  <c r="K5" i="1"/>
  <c r="E5" i="1"/>
</calcChain>
</file>

<file path=xl/sharedStrings.xml><?xml version="1.0" encoding="utf-8"?>
<sst xmlns="http://schemas.openxmlformats.org/spreadsheetml/2006/main" count="82" uniqueCount="82">
  <si>
    <t>Tu punto de equilibrio · Paso a paso</t>
  </si>
  <si>
    <t>Calcula cuántas ventas necesitas al mes para cubrir tus costos. Funciona para un producto o un servicio.</t>
  </si>
  <si>
    <t>Escribe el producto o servicio que vendes:</t>
  </si>
  <si>
    <t>META MÍNIMA DEL MES</t>
  </si>
  <si>
    <t>GRUPOS / LOTES COMPLETOS</t>
  </si>
  <si>
    <t>Amarillo = tú capturas. Los demás resultados son automáticos. Empieza en 1 y sigue hasta 5.</t>
  </si>
  <si>
    <t>Unidades que rinde tu cálculo</t>
  </si>
  <si>
    <t>Precio de venta de UNA unidad</t>
  </si>
  <si>
    <t>¿Qué es una unidad? Una pieza, una sesión, un servicio o una hora. Para costear solo una, deja 1.</t>
  </si>
  <si>
    <t>Usa el mismo precio y tamaño de unidad en todo el ejercicio. No mezcles precios con y sin IVA.</t>
  </si>
  <si>
    <t>1 · ¿Qué necesitas para producir o vender?</t>
  </si>
  <si>
    <t>2 · ¿Qué pagas al mes aunque vendas poco?</t>
  </si>
  <si>
    <t>Concepto</t>
  </si>
  <si>
    <t>Unidad de compra</t>
  </si>
  <si>
    <t>Precio por unidad de compra</t>
  </si>
  <si>
    <t>Cantidad usada en tu cálculo</t>
  </si>
  <si>
    <t>Costo del cálculo</t>
  </si>
  <si>
    <t>Material o mercancía 1</t>
  </si>
  <si>
    <t>Renta o espacio de trabajo</t>
  </si>
  <si>
    <t>Material o mercancía 2</t>
  </si>
  <si>
    <t>Tu sueldo mensual</t>
  </si>
  <si>
    <t>Empaque o entrega física</t>
  </si>
  <si>
    <t>Sueldos base del equipo</t>
  </si>
  <si>
    <t>Consumibles</t>
  </si>
  <si>
    <t>Parte fija de luz, agua y gas</t>
  </si>
  <si>
    <t>Mano de obra por venta</t>
  </si>
  <si>
    <t>Internet y teléfono</t>
  </si>
  <si>
    <t>Comisión por cobro / plataforma</t>
  </si>
  <si>
    <t>Renta de equipo / herramientas</t>
  </si>
  <si>
    <t>Envío que tú pagas</t>
  </si>
  <si>
    <t>Software y suscripciones</t>
  </si>
  <si>
    <t>Gas proporcional a tus ventas</t>
  </si>
  <si>
    <t>Contador y administración</t>
  </si>
  <si>
    <t>Luz proporcional a tus ventas</t>
  </si>
  <si>
    <t>Publicidad mensual fija</t>
  </si>
  <si>
    <t>Agua proporcional a tus ventas</t>
  </si>
  <si>
    <t>Seguros y permisos (mensual)</t>
  </si>
  <si>
    <t>Transporte por venta</t>
  </si>
  <si>
    <t>Mantenimiento mensual fijo</t>
  </si>
  <si>
    <t>Otro costo variable 1</t>
  </si>
  <si>
    <t>Otro gasto fijo</t>
  </si>
  <si>
    <t>Otro costo variable 2</t>
  </si>
  <si>
    <t>Otro costo variable 3</t>
  </si>
  <si>
    <t>TOTAL FIJO MENSUAL</t>
  </si>
  <si>
    <t>Otro costo variable 4</t>
  </si>
  <si>
    <t>Otro costo variable 5</t>
  </si>
  <si>
    <t>Gas, luz y agua: la parte que crece por cada venta va en el bloque 1; la parte mensual fija, aquí. Divide el costo entre ambas si corresponde. No lo cuentes dos veces.</t>
  </si>
  <si>
    <t>TOTAL: costo de tu cálculo</t>
  </si>
  <si>
    <t>Captura las cantidades para TODAS las unidades de F8. Ejemplo: 1 kg cuesta $100 y usas 0.25 kg: precio 100, cantidad 0.25. Si haces 20 piezas, usa los materiales para esas 20.</t>
  </si>
  <si>
    <t>Incluye tu sueldo una sola vez. Si es pago por pieza u hora vendida, va en el bloque 1. Si es mensual, va aquí. Gastos anuales: divide entre 12 para estimar el mes.</t>
  </si>
  <si>
    <t>3 · ¿Qué queda de cada venta?</t>
  </si>
  <si>
    <t>4 · ¿Cuántas unidades debes vender?</t>
  </si>
  <si>
    <t>Precio de venta por unidad</t>
  </si>
  <si>
    <t>Gastos fijos del mes</t>
  </si>
  <si>
    <t>Costo variable de UNA unidad</t>
  </si>
  <si>
    <t>Lo que deja cada unidad</t>
  </si>
  <si>
    <t>QUEDA PARA CUBRIR LOS FIJOS</t>
  </si>
  <si>
    <t>UNIDADES MÍNIMAS AL MES</t>
  </si>
  <si>
    <t>Aún no es utilidad: cada venta aporta esta cantidad para cubrir los gastos fijos.</t>
  </si>
  <si>
    <t>El costo por unidad ya se resta de cada venta. Así se consideran los costos de TODAS las unidades que vendas, no solo los del primer lote.</t>
  </si>
  <si>
    <t>Mínimo redondeado hacia arriba</t>
  </si>
  <si>
    <t>5 · Comprueba las ventas de TODO el mes</t>
  </si>
  <si>
    <t>Menos ventas / meta mínima / más ventas</t>
  </si>
  <si>
    <t>Unidades que venderías en el mes</t>
  </si>
  <si>
    <t>Dinero recibido por ventas</t>
  </si>
  <si>
    <t>Menos: costo de TODAS esas ventas</t>
  </si>
  <si>
    <t>Menos: gastos fijos del mes</t>
  </si>
  <si>
    <t>GANANCIA O PÉRDIDA DEL MES</t>
  </si>
  <si>
    <t>El resultado incluye tu sueldo si lo capturaste. Es antes de impuestos y de gastos no registrados. Supone que produces y vendes lo mismo, sin inventario sobrante ni merma.</t>
  </si>
  <si>
    <t>Unidades al mes</t>
  </si>
  <si>
    <t>Ventas</t>
  </si>
  <si>
    <t>Variables</t>
  </si>
  <si>
    <t>Fijos</t>
  </si>
  <si>
    <t>Resultado</t>
  </si>
  <si>
    <t>Si trabajas con lotes completos</t>
  </si>
  <si>
    <t>Cantidad total que debes vender</t>
  </si>
  <si>
    <t>El mínimo de unidades se redondea hacia arriba. Si necesitas producir grupos completos, la meta se ajusta al siguiente grupo.</t>
  </si>
  <si>
    <t>Cómo adaptar el cálculo: reventa = costo de compra; producción = materiales y consumo; servicio = horas, consumibles y comisiones. Puedes cambiar todos los conceptos amarillos.</t>
  </si>
  <si>
    <t>Porcentaje de comisión: conviértelo a pesos por venta. Ejemplo: si vendes en $100 y te cobran 3%, el costo por venta es $3. Mantén la misma base de impuestos en precios y costos.</t>
  </si>
  <si>
    <t>Esta plantilla calcula un producto o servicio con un precio y costo por unidad. Si vendes varios diferentes, el equilibrio del negocio requiere considerar su mezcla de ventas. No sumes los mínimos de archivos separados.</t>
  </si>
  <si>
    <t>Para reutilizar: guarda una copia por cálculo, escribe tu producto y revisa precios, cantidades y gastos mensuales. Todos los importes iniciales son cero. El 1 del rendimiento significa “una unidad”.</t>
  </si>
  <si>
    <t>Perla Maldonado · Finanzas inteligentes · perlamaldonado.com · Instagram: @yoamoahorrar · WhatsApp: 55 30 41 10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</si>
</sst>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\(&quot;$&quot;#,##0.00\);&quot;$&quot;0.00"/>
  </numFmts>
  <fonts count="7">
    <font>
      <sz val="11"/>
      <name val="Carlito"/>
    </font>
    <font>
      <sz val="12"/>
      <color rgb="FF4C2049"/>
      <name val="Arial"/>
      <family val="2"/>
    </font>
    <font>
      <b/>
      <sz val="20"/>
      <color rgb="FF4C2049"/>
      <name val="Arial"/>
      <family val="2"/>
    </font>
    <font>
      <sz val="11"/>
      <color rgb="FF645C68"/>
      <name val="Arial"/>
      <family val="2"/>
    </font>
    <font>
      <sz val="12"/>
      <color rgb="FF1655A6"/>
      <name val="Arial"/>
      <family val="2"/>
    </font>
    <font>
      <b/>
      <sz val="12"/>
      <color rgb="FF4C2049"/>
      <name val="Arial"/>
      <family val="2"/>
    </font>
    <font>
      <b/>
      <sz val="12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CF9F3"/>
      </patternFill>
    </fill>
    <fill>
      <patternFill patternType="solid">
        <fgColor rgb="FFFFF1BA"/>
      </patternFill>
    </fill>
    <fill>
      <patternFill patternType="solid">
        <fgColor rgb="FFDDE8D3"/>
      </patternFill>
    </fill>
    <fill>
      <patternFill patternType="solid">
        <fgColor rgb="FFE9DDF0"/>
      </patternFill>
    </fill>
    <fill>
      <patternFill patternType="solid">
        <fgColor rgb="FF4C20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0" fontId="6" fillId="6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164" fontId="4" fillId="3" borderId="0" xfId="0" applyNumberFormat="1" applyFont="1" applyFill="1" applyAlignment="1">
      <alignment vertical="center" wrapText="1"/>
    </xf>
    <xf numFmtId="2" fontId="4" fillId="3" borderId="0" xfId="0" applyNumberFormat="1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/>
    </xf>
    <xf numFmtId="164" fontId="1" fillId="5" borderId="0" xfId="0" applyNumberFormat="1" applyFont="1" applyFill="1" applyAlignment="1">
      <alignment vertical="center"/>
    </xf>
    <xf numFmtId="1" fontId="1" fillId="2" borderId="0" xfId="0" applyNumberFormat="1" applyFont="1" applyFill="1" applyAlignment="1">
      <alignment vertical="center"/>
    </xf>
    <xf numFmtId="164" fontId="1" fillId="4" borderId="0" xfId="0" applyNumberFormat="1" applyFont="1" applyFill="1" applyAlignment="1">
      <alignment vertical="center"/>
    </xf>
    <xf numFmtId="1" fontId="1" fillId="4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5" fillId="5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b/>
        <color rgb="FF9B2424"/>
      </font>
      <fill>
        <patternFill patternType="solid">
          <bgColor rgb="FFF8DCD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MX" sz="1050">
                <a:latin typeface="Arial"/>
                <a:ea typeface="Arial"/>
                <a:cs typeface="Arial"/>
              </a:rPr>
              <a:t>Resultado según las unidades vendidas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Resultado</c:v>
          </c:tx>
          <c:spPr>
            <a:solidFill>
              <a:srgbClr val="876D97"/>
            </a:solidFill>
          </c:spPr>
          <c:invertIfNegative val="0"/>
          <c:cat>
            <c:multiLvlStrRef>
              <c:f>'Empieza aqui'!$B$65:$B$67</c:f>
            </c:multiLvlStrRef>
          </c:cat>
          <c:val>
            <c:numRef>
              <c:f>'Empieza aqui'!$F$65:$F$67</c:f>
              <c:numCache>
                <c:formatCode>"$"#,##0.00;\("$"#,##0.00\);"$"0.00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2-5046-B44C-BD7478F8F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es-MX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48</xdr:row>
      <xdr:rowOff>0</xdr:rowOff>
    </xdr:from>
    <xdr:to>
      <xdr:col>12</xdr:col>
      <xdr:colOff>0</xdr:colOff>
      <xdr:row>63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C2049"/>
  </sheetPr>
  <dimension ref="B2:L87"/>
  <sheetViews>
    <sheetView showGridLines="0" tabSelected="1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3" customWidth="1"/>
    <col min="2" max="2" width="32" customWidth="1"/>
    <col min="3" max="3" width="12" customWidth="1"/>
    <col min="4" max="4" width="16" customWidth="1"/>
    <col min="5" max="5" width="15" customWidth="1"/>
    <col min="6" max="6" width="19" customWidth="1"/>
    <col min="7" max="7" width="3" customWidth="1"/>
    <col min="8" max="8" width="22" customWidth="1"/>
    <col min="9" max="10" width="9" customWidth="1"/>
    <col min="11" max="11" width="12" customWidth="1"/>
    <col min="12" max="12" width="19" customWidth="1"/>
  </cols>
  <sheetData>
    <row r="2" spans="2:12" ht="40" customHeight="1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2:12" ht="30" customHeight="1">
      <c r="B3" s="15" t="s">
        <v>1</v>
      </c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2:12" ht="29" customHeight="1">
      <c r="B4" s="16" t="s">
        <v>2</v>
      </c>
      <c r="C4" s="16"/>
      <c r="D4" s="16"/>
      <c r="E4" s="16"/>
      <c r="F4" s="17"/>
      <c r="G4" s="17"/>
      <c r="H4" s="17"/>
      <c r="I4" s="17"/>
      <c r="J4" s="17"/>
      <c r="K4" s="17"/>
      <c r="L4" s="17"/>
    </row>
    <row r="5" spans="2:12" ht="29" customHeight="1">
      <c r="B5" s="18" t="s">
        <v>3</v>
      </c>
      <c r="C5" s="18"/>
      <c r="D5" s="18"/>
      <c r="E5" s="18" t="str">
        <f>IF(ISNUMBER(F42),F42,"")</f>
        <v/>
      </c>
      <c r="F5" s="18"/>
      <c r="G5" s="1"/>
      <c r="H5" s="19" t="s">
        <v>4</v>
      </c>
      <c r="I5" s="19"/>
      <c r="J5" s="19"/>
      <c r="K5" s="19" t="str">
        <f>IF(ISNUMBER(F42),ROUNDUP(F42/F8,0),"")</f>
        <v/>
      </c>
      <c r="L5" s="19"/>
    </row>
    <row r="6" spans="2:12" ht="30" customHeight="1">
      <c r="B6" s="15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2:12" ht="29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2:12" ht="29" customHeight="1">
      <c r="B8" s="16" t="s">
        <v>6</v>
      </c>
      <c r="C8" s="16"/>
      <c r="D8" s="16"/>
      <c r="E8" s="16"/>
      <c r="F8" s="2">
        <v>1</v>
      </c>
      <c r="G8" s="1"/>
      <c r="H8" s="16" t="s">
        <v>7</v>
      </c>
      <c r="I8" s="16"/>
      <c r="J8" s="16"/>
      <c r="K8" s="16"/>
      <c r="L8" s="3">
        <v>0</v>
      </c>
    </row>
    <row r="9" spans="2:12" ht="42" customHeight="1">
      <c r="B9" s="15" t="s">
        <v>8</v>
      </c>
      <c r="C9" s="15"/>
      <c r="D9" s="15"/>
      <c r="E9" s="15"/>
      <c r="F9" s="15"/>
      <c r="G9" s="1"/>
      <c r="H9" s="15" t="s">
        <v>9</v>
      </c>
      <c r="I9" s="15"/>
      <c r="J9" s="15"/>
      <c r="K9" s="15"/>
      <c r="L9" s="15"/>
    </row>
    <row r="10" spans="2:12" ht="32" customHeight="1">
      <c r="B10" s="20" t="s">
        <v>10</v>
      </c>
      <c r="C10" s="20"/>
      <c r="D10" s="20"/>
      <c r="E10" s="20"/>
      <c r="F10" s="20"/>
      <c r="G10" s="1"/>
      <c r="H10" s="20" t="s">
        <v>11</v>
      </c>
      <c r="I10" s="20"/>
      <c r="J10" s="20"/>
      <c r="K10" s="20"/>
      <c r="L10" s="20"/>
    </row>
    <row r="11" spans="2:12" ht="55" customHeight="1"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1"/>
      <c r="H11" s="1"/>
      <c r="I11" s="1"/>
      <c r="J11" s="1"/>
      <c r="K11" s="1"/>
      <c r="L11" s="1"/>
    </row>
    <row r="12" spans="2:12" ht="42" customHeight="1">
      <c r="B12" s="5" t="s">
        <v>17</v>
      </c>
      <c r="C12" s="5"/>
      <c r="D12" s="6">
        <v>0</v>
      </c>
      <c r="E12" s="7">
        <v>0</v>
      </c>
      <c r="F12" s="8">
        <f t="shared" ref="F12:F27" si="0">D12*E12</f>
        <v>0</v>
      </c>
      <c r="G12" s="1"/>
      <c r="H12" s="21" t="s">
        <v>18</v>
      </c>
      <c r="I12" s="21"/>
      <c r="J12" s="21"/>
      <c r="K12" s="21"/>
      <c r="L12" s="6">
        <v>0</v>
      </c>
    </row>
    <row r="13" spans="2:12" ht="42" customHeight="1">
      <c r="B13" s="5" t="s">
        <v>19</v>
      </c>
      <c r="C13" s="5"/>
      <c r="D13" s="6">
        <v>0</v>
      </c>
      <c r="E13" s="7">
        <v>0</v>
      </c>
      <c r="F13" s="8">
        <f t="shared" si="0"/>
        <v>0</v>
      </c>
      <c r="G13" s="1"/>
      <c r="H13" s="21" t="s">
        <v>20</v>
      </c>
      <c r="I13" s="21"/>
      <c r="J13" s="21"/>
      <c r="K13" s="21"/>
      <c r="L13" s="6">
        <v>0</v>
      </c>
    </row>
    <row r="14" spans="2:12" ht="42" customHeight="1">
      <c r="B14" s="5" t="s">
        <v>21</v>
      </c>
      <c r="C14" s="5"/>
      <c r="D14" s="6">
        <v>0</v>
      </c>
      <c r="E14" s="7">
        <v>0</v>
      </c>
      <c r="F14" s="8">
        <f t="shared" si="0"/>
        <v>0</v>
      </c>
      <c r="G14" s="1"/>
      <c r="H14" s="21" t="s">
        <v>22</v>
      </c>
      <c r="I14" s="21"/>
      <c r="J14" s="21"/>
      <c r="K14" s="21"/>
      <c r="L14" s="6">
        <v>0</v>
      </c>
    </row>
    <row r="15" spans="2:12" ht="42" customHeight="1">
      <c r="B15" s="5" t="s">
        <v>23</v>
      </c>
      <c r="C15" s="5"/>
      <c r="D15" s="6">
        <v>0</v>
      </c>
      <c r="E15" s="7">
        <v>0</v>
      </c>
      <c r="F15" s="8">
        <f t="shared" si="0"/>
        <v>0</v>
      </c>
      <c r="G15" s="1"/>
      <c r="H15" s="21" t="s">
        <v>24</v>
      </c>
      <c r="I15" s="21"/>
      <c r="J15" s="21"/>
      <c r="K15" s="21"/>
      <c r="L15" s="6">
        <v>0</v>
      </c>
    </row>
    <row r="16" spans="2:12" ht="42" customHeight="1">
      <c r="B16" s="5" t="s">
        <v>25</v>
      </c>
      <c r="C16" s="5"/>
      <c r="D16" s="6">
        <v>0</v>
      </c>
      <c r="E16" s="7">
        <v>0</v>
      </c>
      <c r="F16" s="8">
        <f t="shared" si="0"/>
        <v>0</v>
      </c>
      <c r="G16" s="1"/>
      <c r="H16" s="21" t="s">
        <v>26</v>
      </c>
      <c r="I16" s="21"/>
      <c r="J16" s="21"/>
      <c r="K16" s="21"/>
      <c r="L16" s="6">
        <v>0</v>
      </c>
    </row>
    <row r="17" spans="2:12" ht="42" customHeight="1">
      <c r="B17" s="5" t="s">
        <v>27</v>
      </c>
      <c r="C17" s="5"/>
      <c r="D17" s="6">
        <v>0</v>
      </c>
      <c r="E17" s="7">
        <v>0</v>
      </c>
      <c r="F17" s="8">
        <f t="shared" si="0"/>
        <v>0</v>
      </c>
      <c r="G17" s="1"/>
      <c r="H17" s="21" t="s">
        <v>28</v>
      </c>
      <c r="I17" s="21"/>
      <c r="J17" s="21"/>
      <c r="K17" s="21"/>
      <c r="L17" s="6">
        <v>0</v>
      </c>
    </row>
    <row r="18" spans="2:12" ht="42" customHeight="1">
      <c r="B18" s="5" t="s">
        <v>29</v>
      </c>
      <c r="C18" s="5"/>
      <c r="D18" s="6">
        <v>0</v>
      </c>
      <c r="E18" s="7">
        <v>0</v>
      </c>
      <c r="F18" s="8">
        <f t="shared" si="0"/>
        <v>0</v>
      </c>
      <c r="G18" s="1"/>
      <c r="H18" s="21" t="s">
        <v>30</v>
      </c>
      <c r="I18" s="21"/>
      <c r="J18" s="21"/>
      <c r="K18" s="21"/>
      <c r="L18" s="6">
        <v>0</v>
      </c>
    </row>
    <row r="19" spans="2:12" ht="42" customHeight="1">
      <c r="B19" s="5" t="s">
        <v>31</v>
      </c>
      <c r="C19" s="5"/>
      <c r="D19" s="6">
        <v>0</v>
      </c>
      <c r="E19" s="7">
        <v>0</v>
      </c>
      <c r="F19" s="8">
        <f t="shared" si="0"/>
        <v>0</v>
      </c>
      <c r="G19" s="1"/>
      <c r="H19" s="21" t="s">
        <v>32</v>
      </c>
      <c r="I19" s="21"/>
      <c r="J19" s="21"/>
      <c r="K19" s="21"/>
      <c r="L19" s="6">
        <v>0</v>
      </c>
    </row>
    <row r="20" spans="2:12" ht="42" customHeight="1">
      <c r="B20" s="5" t="s">
        <v>33</v>
      </c>
      <c r="C20" s="5"/>
      <c r="D20" s="6">
        <v>0</v>
      </c>
      <c r="E20" s="7">
        <v>0</v>
      </c>
      <c r="F20" s="8">
        <f t="shared" si="0"/>
        <v>0</v>
      </c>
      <c r="G20" s="1"/>
      <c r="H20" s="21" t="s">
        <v>34</v>
      </c>
      <c r="I20" s="21"/>
      <c r="J20" s="21"/>
      <c r="K20" s="21"/>
      <c r="L20" s="6">
        <v>0</v>
      </c>
    </row>
    <row r="21" spans="2:12" ht="42" customHeight="1">
      <c r="B21" s="5" t="s">
        <v>35</v>
      </c>
      <c r="C21" s="5"/>
      <c r="D21" s="6">
        <v>0</v>
      </c>
      <c r="E21" s="7">
        <v>0</v>
      </c>
      <c r="F21" s="8">
        <f t="shared" si="0"/>
        <v>0</v>
      </c>
      <c r="G21" s="1"/>
      <c r="H21" s="21" t="s">
        <v>36</v>
      </c>
      <c r="I21" s="21"/>
      <c r="J21" s="21"/>
      <c r="K21" s="21"/>
      <c r="L21" s="6">
        <v>0</v>
      </c>
    </row>
    <row r="22" spans="2:12" ht="42" customHeight="1">
      <c r="B22" s="5" t="s">
        <v>37</v>
      </c>
      <c r="C22" s="5"/>
      <c r="D22" s="6">
        <v>0</v>
      </c>
      <c r="E22" s="7">
        <v>0</v>
      </c>
      <c r="F22" s="8">
        <f t="shared" si="0"/>
        <v>0</v>
      </c>
      <c r="G22" s="1"/>
      <c r="H22" s="21" t="s">
        <v>38</v>
      </c>
      <c r="I22" s="21"/>
      <c r="J22" s="21"/>
      <c r="K22" s="21"/>
      <c r="L22" s="6">
        <v>0</v>
      </c>
    </row>
    <row r="23" spans="2:12" ht="42" customHeight="1">
      <c r="B23" s="5" t="s">
        <v>39</v>
      </c>
      <c r="C23" s="5"/>
      <c r="D23" s="6">
        <v>0</v>
      </c>
      <c r="E23" s="7">
        <v>0</v>
      </c>
      <c r="F23" s="8">
        <f t="shared" si="0"/>
        <v>0</v>
      </c>
      <c r="G23" s="1"/>
      <c r="H23" s="21" t="s">
        <v>40</v>
      </c>
      <c r="I23" s="21"/>
      <c r="J23" s="21"/>
      <c r="K23" s="21"/>
      <c r="L23" s="6">
        <v>0</v>
      </c>
    </row>
    <row r="24" spans="2:12" ht="42" customHeight="1">
      <c r="B24" s="5" t="s">
        <v>41</v>
      </c>
      <c r="C24" s="5"/>
      <c r="D24" s="6">
        <v>0</v>
      </c>
      <c r="E24" s="7">
        <v>0</v>
      </c>
      <c r="F24" s="8">
        <f t="shared" si="0"/>
        <v>0</v>
      </c>
      <c r="G24" s="1"/>
      <c r="H24" s="1"/>
      <c r="I24" s="1"/>
      <c r="J24" s="1"/>
      <c r="K24" s="1"/>
      <c r="L24" s="9"/>
    </row>
    <row r="25" spans="2:12" ht="42" customHeight="1">
      <c r="B25" s="5" t="s">
        <v>42</v>
      </c>
      <c r="C25" s="5"/>
      <c r="D25" s="6">
        <v>0</v>
      </c>
      <c r="E25" s="7">
        <v>0</v>
      </c>
      <c r="F25" s="8">
        <f t="shared" si="0"/>
        <v>0</v>
      </c>
      <c r="G25" s="1"/>
      <c r="H25" s="19" t="s">
        <v>43</v>
      </c>
      <c r="I25" s="19"/>
      <c r="J25" s="19"/>
      <c r="K25" s="19"/>
      <c r="L25" s="10">
        <f>SUM(L12:L23)</f>
        <v>0</v>
      </c>
    </row>
    <row r="26" spans="2:12" ht="42" customHeight="1">
      <c r="B26" s="5" t="s">
        <v>44</v>
      </c>
      <c r="C26" s="5"/>
      <c r="D26" s="6">
        <v>0</v>
      </c>
      <c r="E26" s="7">
        <v>0</v>
      </c>
      <c r="F26" s="8">
        <f t="shared" si="0"/>
        <v>0</v>
      </c>
      <c r="G26" s="1"/>
      <c r="H26" s="1"/>
      <c r="I26" s="1"/>
      <c r="J26" s="1"/>
      <c r="K26" s="1"/>
      <c r="L26" s="1"/>
    </row>
    <row r="27" spans="2:12" ht="42" customHeight="1">
      <c r="B27" s="5" t="s">
        <v>45</v>
      </c>
      <c r="C27" s="5"/>
      <c r="D27" s="6">
        <v>0</v>
      </c>
      <c r="E27" s="7">
        <v>0</v>
      </c>
      <c r="F27" s="8">
        <f t="shared" si="0"/>
        <v>0</v>
      </c>
      <c r="G27" s="1"/>
      <c r="H27" s="15" t="s">
        <v>46</v>
      </c>
      <c r="I27" s="15"/>
      <c r="J27" s="15"/>
      <c r="K27" s="15"/>
      <c r="L27" s="15"/>
    </row>
    <row r="28" spans="2:12" ht="42" customHeight="1">
      <c r="B28" s="19" t="s">
        <v>47</v>
      </c>
      <c r="C28" s="19"/>
      <c r="D28" s="19"/>
      <c r="E28" s="19"/>
      <c r="F28" s="10">
        <f>SUM(F12:F27)</f>
        <v>0</v>
      </c>
      <c r="G28" s="1"/>
      <c r="H28" s="15"/>
      <c r="I28" s="15"/>
      <c r="J28" s="15"/>
      <c r="K28" s="15"/>
      <c r="L28" s="15"/>
    </row>
    <row r="29" spans="2:12" ht="42" customHeight="1">
      <c r="B29" s="1"/>
      <c r="C29" s="1"/>
      <c r="D29" s="1"/>
      <c r="E29" s="1"/>
      <c r="F29" s="1"/>
      <c r="G29" s="1"/>
      <c r="H29" s="15"/>
      <c r="I29" s="15"/>
      <c r="J29" s="15"/>
      <c r="K29" s="15"/>
      <c r="L29" s="15"/>
    </row>
    <row r="30" spans="2:12" ht="38" customHeight="1">
      <c r="B30" s="15" t="s">
        <v>48</v>
      </c>
      <c r="C30" s="15"/>
      <c r="D30" s="15"/>
      <c r="E30" s="15"/>
      <c r="F30" s="15"/>
      <c r="G30" s="1"/>
      <c r="H30" s="15" t="s">
        <v>49</v>
      </c>
      <c r="I30" s="15"/>
      <c r="J30" s="15"/>
      <c r="K30" s="15"/>
      <c r="L30" s="15"/>
    </row>
    <row r="31" spans="2:12" ht="38" customHeight="1">
      <c r="B31" s="15"/>
      <c r="C31" s="15"/>
      <c r="D31" s="15"/>
      <c r="E31" s="15"/>
      <c r="F31" s="15"/>
      <c r="G31" s="1"/>
      <c r="H31" s="15"/>
      <c r="I31" s="15"/>
      <c r="J31" s="15"/>
      <c r="K31" s="15"/>
      <c r="L31" s="15"/>
    </row>
    <row r="32" spans="2:12" ht="29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2:12" ht="29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2:12" ht="32" customHeight="1">
      <c r="B34" s="20" t="s">
        <v>50</v>
      </c>
      <c r="C34" s="20"/>
      <c r="D34" s="20"/>
      <c r="E34" s="20"/>
      <c r="F34" s="20"/>
      <c r="G34" s="1"/>
      <c r="H34" s="20" t="s">
        <v>51</v>
      </c>
      <c r="I34" s="20"/>
      <c r="J34" s="20"/>
      <c r="K34" s="20"/>
      <c r="L34" s="20"/>
    </row>
    <row r="35" spans="2:12" ht="29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2" ht="29" customHeight="1">
      <c r="B36" s="16" t="s">
        <v>52</v>
      </c>
      <c r="C36" s="16"/>
      <c r="D36" s="16"/>
      <c r="E36" s="16"/>
      <c r="F36" s="9">
        <f>L8</f>
        <v>0</v>
      </c>
      <c r="G36" s="1"/>
      <c r="H36" s="16" t="s">
        <v>53</v>
      </c>
      <c r="I36" s="16"/>
      <c r="J36" s="16"/>
      <c r="K36" s="16"/>
      <c r="L36" s="9">
        <f>L25</f>
        <v>0</v>
      </c>
    </row>
    <row r="37" spans="2:12" ht="29" customHeight="1">
      <c r="B37" s="16" t="s">
        <v>54</v>
      </c>
      <c r="C37" s="16"/>
      <c r="D37" s="16"/>
      <c r="E37" s="16"/>
      <c r="F37" s="9">
        <f>IF(F8&gt;0,F28/F8,"")</f>
        <v>0</v>
      </c>
      <c r="G37" s="1"/>
      <c r="H37" s="16" t="s">
        <v>55</v>
      </c>
      <c r="I37" s="16"/>
      <c r="J37" s="16"/>
      <c r="K37" s="16"/>
      <c r="L37" s="9" t="str">
        <f>IF(ISNUMBER(F39),F39,"")</f>
        <v/>
      </c>
    </row>
    <row r="38" spans="2:12" ht="29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2:12" ht="29" customHeight="1">
      <c r="B39" s="18" t="s">
        <v>56</v>
      </c>
      <c r="C39" s="18"/>
      <c r="D39" s="18"/>
      <c r="E39" s="18"/>
      <c r="F39" s="12" t="str">
        <f>IF(AND(F8&gt;0,L8&gt;0),F36-F37,"")</f>
        <v/>
      </c>
      <c r="G39" s="1"/>
      <c r="H39" s="18" t="s">
        <v>57</v>
      </c>
      <c r="I39" s="18"/>
      <c r="J39" s="18"/>
      <c r="K39" s="18"/>
      <c r="L39" s="13" t="str">
        <f>IF(ISNUMBER(F42),F42,"")</f>
        <v/>
      </c>
    </row>
    <row r="40" spans="2:12" ht="42" customHeight="1">
      <c r="B40" s="15" t="s">
        <v>58</v>
      </c>
      <c r="C40" s="15"/>
      <c r="D40" s="15"/>
      <c r="E40" s="15"/>
      <c r="F40" s="1"/>
      <c r="G40" s="1"/>
      <c r="H40" s="1"/>
      <c r="I40" s="1"/>
      <c r="J40" s="1"/>
      <c r="K40" s="1"/>
      <c r="L40" s="1"/>
    </row>
    <row r="41" spans="2:12" ht="38" customHeight="1">
      <c r="B41" s="1"/>
      <c r="C41" s="1"/>
      <c r="D41" s="1"/>
      <c r="E41" s="1"/>
      <c r="F41" s="1"/>
      <c r="G41" s="1"/>
      <c r="H41" s="15" t="s">
        <v>59</v>
      </c>
      <c r="I41" s="15"/>
      <c r="J41" s="15"/>
      <c r="K41" s="15"/>
      <c r="L41" s="15"/>
    </row>
    <row r="42" spans="2:12" ht="38" customHeight="1">
      <c r="B42" s="16" t="s">
        <v>60</v>
      </c>
      <c r="C42" s="16"/>
      <c r="D42" s="16"/>
      <c r="E42" s="16"/>
      <c r="F42" s="11" t="str">
        <f>IF(AND(F8&gt;0,L8&gt;0,ISNUMBER(F39)),IF(F39&gt;0,ROUNDUP(L25/F39,0),""),"")</f>
        <v/>
      </c>
      <c r="G42" s="1"/>
      <c r="H42" s="15"/>
      <c r="I42" s="15"/>
      <c r="J42" s="15"/>
      <c r="K42" s="15"/>
      <c r="L42" s="15"/>
    </row>
    <row r="43" spans="2:12" ht="38" customHeight="1">
      <c r="B43" s="1"/>
      <c r="C43" s="1"/>
      <c r="D43" s="1"/>
      <c r="E43" s="1"/>
      <c r="F43" s="1"/>
      <c r="G43" s="1"/>
      <c r="H43" s="15"/>
      <c r="I43" s="15"/>
      <c r="J43" s="15"/>
      <c r="K43" s="15"/>
      <c r="L43" s="15"/>
    </row>
    <row r="44" spans="2:12" ht="29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2:12" ht="45" customHeight="1">
      <c r="B45" s="22" t="str">
        <f>IF(F8&lt;=0,"Escribe cuántas unidades rinde tu cálculo (más de cero).",IF(L8&lt;=0,"Captura un precio de venta mayor que cero.",IF(F39&lt;=0,"Tu precio no deja dinero para gastos fijos. Revisa precio y costos.",IF(L25=0,"Sin gastos fijos: cada venta deja un margen positivo; el mínimo calculado es 0.","Tu meta mínima ya está calculada. Continúa con la simulación del mes."))))</f>
        <v>Captura un precio de venta mayor que cero.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</row>
    <row r="46" spans="2:12" ht="29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2:12" ht="32" customHeight="1">
      <c r="B47" s="20" t="s">
        <v>61</v>
      </c>
      <c r="C47" s="20"/>
      <c r="D47" s="20"/>
      <c r="E47" s="20"/>
      <c r="F47" s="20"/>
      <c r="G47" s="1"/>
      <c r="H47" s="20" t="s">
        <v>62</v>
      </c>
      <c r="I47" s="20"/>
      <c r="J47" s="20"/>
      <c r="K47" s="20"/>
      <c r="L47" s="20"/>
    </row>
    <row r="48" spans="2:12" ht="29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2:12" ht="29" customHeight="1">
      <c r="B49" s="16" t="s">
        <v>63</v>
      </c>
      <c r="C49" s="16"/>
      <c r="D49" s="16"/>
      <c r="E49" s="16"/>
      <c r="F49" s="2">
        <v>0</v>
      </c>
      <c r="G49" s="1"/>
      <c r="H49" s="1"/>
      <c r="I49" s="1"/>
      <c r="J49" s="1"/>
      <c r="K49" s="1"/>
      <c r="L49" s="1"/>
    </row>
    <row r="50" spans="2:12" ht="29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2:12" ht="29" customHeight="1">
      <c r="B51" s="16" t="s">
        <v>64</v>
      </c>
      <c r="C51" s="16"/>
      <c r="D51" s="16"/>
      <c r="E51" s="16"/>
      <c r="F51" s="9" t="str">
        <f>IF(ISNUMBER(F42),F49*L8,"")</f>
        <v/>
      </c>
      <c r="G51" s="1"/>
      <c r="H51" s="1"/>
      <c r="I51" s="1"/>
      <c r="J51" s="1"/>
      <c r="K51" s="1"/>
      <c r="L51" s="1"/>
    </row>
    <row r="52" spans="2:12" ht="29" customHeight="1">
      <c r="B52" s="16" t="s">
        <v>65</v>
      </c>
      <c r="C52" s="16"/>
      <c r="D52" s="16"/>
      <c r="E52" s="16"/>
      <c r="F52" s="9" t="str">
        <f>IF(ISNUMBER(F42),F49*F37,"")</f>
        <v/>
      </c>
      <c r="G52" s="1"/>
      <c r="H52" s="1"/>
      <c r="I52" s="1"/>
      <c r="J52" s="1"/>
      <c r="K52" s="1"/>
      <c r="L52" s="1"/>
    </row>
    <row r="53" spans="2:12" ht="29" customHeight="1">
      <c r="B53" s="16" t="s">
        <v>66</v>
      </c>
      <c r="C53" s="16"/>
      <c r="D53" s="16"/>
      <c r="E53" s="16"/>
      <c r="F53" s="9" t="str">
        <f>IF(ISNUMBER(F42),L25,"")</f>
        <v/>
      </c>
      <c r="G53" s="1"/>
      <c r="H53" s="1"/>
      <c r="I53" s="1"/>
      <c r="J53" s="1"/>
      <c r="K53" s="1"/>
      <c r="L53" s="1"/>
    </row>
    <row r="54" spans="2:12" ht="29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2:12" ht="29" customHeight="1">
      <c r="B55" s="18" t="s">
        <v>67</v>
      </c>
      <c r="C55" s="18"/>
      <c r="D55" s="18"/>
      <c r="E55" s="18"/>
      <c r="F55" s="12" t="str">
        <f>IF(ISNUMBER(F42),F51-F52-F53,"")</f>
        <v/>
      </c>
      <c r="G55" s="1"/>
      <c r="H55" s="1"/>
      <c r="I55" s="1"/>
      <c r="J55" s="1"/>
      <c r="K55" s="1"/>
      <c r="L55" s="1"/>
    </row>
    <row r="56" spans="2:12" ht="29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2:12" ht="38" customHeight="1">
      <c r="B57" s="15" t="s">
        <v>68</v>
      </c>
      <c r="C57" s="15"/>
      <c r="D57" s="15"/>
      <c r="E57" s="15"/>
      <c r="F57" s="15"/>
      <c r="G57" s="1"/>
      <c r="H57" s="1"/>
      <c r="I57" s="1"/>
      <c r="J57" s="1"/>
      <c r="K57" s="1"/>
      <c r="L57" s="1"/>
    </row>
    <row r="58" spans="2:12" ht="38" customHeight="1">
      <c r="B58" s="15"/>
      <c r="C58" s="15"/>
      <c r="D58" s="15"/>
      <c r="E58" s="15"/>
      <c r="F58" s="15"/>
      <c r="G58" s="1"/>
      <c r="H58" s="1"/>
      <c r="I58" s="1"/>
      <c r="J58" s="1"/>
      <c r="K58" s="1"/>
      <c r="L58" s="1"/>
    </row>
    <row r="59" spans="2:12" ht="38" customHeight="1">
      <c r="B59" s="15"/>
      <c r="C59" s="15"/>
      <c r="D59" s="15"/>
      <c r="E59" s="15"/>
      <c r="F59" s="15"/>
      <c r="G59" s="1"/>
      <c r="H59" s="1"/>
      <c r="I59" s="1"/>
      <c r="J59" s="1"/>
      <c r="K59" s="1"/>
      <c r="L59" s="1"/>
    </row>
    <row r="60" spans="2:12" ht="29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2:12" ht="29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2:12" ht="29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2:12" ht="29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2:12" ht="35" customHeight="1">
      <c r="B64" s="4" t="s">
        <v>69</v>
      </c>
      <c r="C64" s="4" t="s">
        <v>70</v>
      </c>
      <c r="D64" s="4" t="s">
        <v>71</v>
      </c>
      <c r="E64" s="4" t="s">
        <v>72</v>
      </c>
      <c r="F64" s="4" t="s">
        <v>73</v>
      </c>
      <c r="G64" s="1"/>
      <c r="H64" s="1"/>
      <c r="I64" s="1"/>
      <c r="J64" s="1"/>
      <c r="K64" s="1"/>
      <c r="L64" s="1"/>
    </row>
    <row r="65" spans="2:12" ht="32" customHeight="1">
      <c r="B65" s="1" t="str">
        <f>IF(ISNUMBER($F$42),ROUNDUP($F$42*0.7,0),"")</f>
        <v/>
      </c>
      <c r="C65" s="9" t="str">
        <f>IF(ISNUMBER($F$42),B65*$L$8,"")</f>
        <v/>
      </c>
      <c r="D65" s="9" t="str">
        <f>IF(ISNUMBER($F$42),B65*$F$37,"")</f>
        <v/>
      </c>
      <c r="E65" s="9" t="str">
        <f>IF(ISNUMBER($F$42),$L$25,"")</f>
        <v/>
      </c>
      <c r="F65" s="9" t="str">
        <f>IF(ISNUMBER($F$42),C65-D65-E65,"")</f>
        <v/>
      </c>
      <c r="G65" s="1"/>
      <c r="H65" s="20" t="s">
        <v>74</v>
      </c>
      <c r="I65" s="20"/>
      <c r="J65" s="20"/>
      <c r="K65" s="20"/>
      <c r="L65" s="20"/>
    </row>
    <row r="66" spans="2:12" ht="29" customHeight="1">
      <c r="B66" s="1" t="str">
        <f>IF(ISNUMBER($F$42),$F$42,"")</f>
        <v/>
      </c>
      <c r="C66" s="9" t="str">
        <f>IF(ISNUMBER($F$42),B66*$L$8,"")</f>
        <v/>
      </c>
      <c r="D66" s="9" t="str">
        <f>IF(ISNUMBER($F$42),B66*$F$37,"")</f>
        <v/>
      </c>
      <c r="E66" s="9" t="str">
        <f>IF(ISNUMBER($F$42),$L$25,"")</f>
        <v/>
      </c>
      <c r="F66" s="9" t="str">
        <f>IF(ISNUMBER($F$42),C66-D66-E66,"")</f>
        <v/>
      </c>
      <c r="G66" s="1"/>
      <c r="H66" s="16" t="s">
        <v>75</v>
      </c>
      <c r="I66" s="16"/>
      <c r="J66" s="16"/>
      <c r="K66" s="16"/>
      <c r="L66" s="1" t="str">
        <f>IF(ISNUMBER(F42),K5*F8,"")</f>
        <v/>
      </c>
    </row>
    <row r="67" spans="2:12" ht="29" customHeight="1">
      <c r="B67" s="1" t="str">
        <f>IF(ISNUMBER($F$42),ROUNDUP($F$42*1.3,0),"")</f>
        <v/>
      </c>
      <c r="C67" s="9" t="str">
        <f>IF(ISNUMBER($F$42),B67*$L$8,"")</f>
        <v/>
      </c>
      <c r="D67" s="9" t="str">
        <f>IF(ISNUMBER($F$42),B67*$F$37,"")</f>
        <v/>
      </c>
      <c r="E67" s="9" t="str">
        <f>IF(ISNUMBER($F$42),$L$25,"")</f>
        <v/>
      </c>
      <c r="F67" s="9" t="str">
        <f>IF(ISNUMBER($F$42),C67-D67-E67,"")</f>
        <v/>
      </c>
      <c r="G67" s="1"/>
      <c r="H67" s="1"/>
      <c r="I67" s="1"/>
      <c r="J67" s="1"/>
      <c r="K67" s="1"/>
      <c r="L67" s="1"/>
    </row>
    <row r="68" spans="2:12" ht="38" customHeight="1">
      <c r="B68" s="1"/>
      <c r="C68" s="1"/>
      <c r="D68" s="1"/>
      <c r="E68" s="1"/>
      <c r="F68" s="1"/>
      <c r="G68" s="1"/>
      <c r="H68" s="15" t="s">
        <v>76</v>
      </c>
      <c r="I68" s="15"/>
      <c r="J68" s="15"/>
      <c r="K68" s="15"/>
      <c r="L68" s="15"/>
    </row>
    <row r="69" spans="2:12" ht="38" customHeight="1">
      <c r="B69" s="1"/>
      <c r="C69" s="1"/>
      <c r="D69" s="1"/>
      <c r="E69" s="1"/>
      <c r="F69" s="1"/>
      <c r="G69" s="1"/>
      <c r="H69" s="15"/>
      <c r="I69" s="15"/>
      <c r="J69" s="15"/>
      <c r="K69" s="15"/>
      <c r="L69" s="15"/>
    </row>
    <row r="70" spans="2:12" ht="29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2:12" ht="38" customHeight="1">
      <c r="B71" s="15" t="s">
        <v>77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</row>
    <row r="72" spans="2:12" ht="38" customHeight="1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</row>
    <row r="73" spans="2:12" ht="29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2:12" ht="38" customHeight="1">
      <c r="B74" s="15" t="s">
        <v>78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</row>
    <row r="75" spans="2:12" ht="38" customHeight="1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</row>
    <row r="76" spans="2:12" ht="29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2:12" ht="38" customHeight="1">
      <c r="B77" s="15" t="s">
        <v>79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</row>
    <row r="78" spans="2:12" ht="38" customHeight="1"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</row>
    <row r="79" spans="2:12" ht="29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2:12" ht="38" customHeight="1">
      <c r="B80" s="15" t="s">
        <v>80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spans="2:12" ht="38" customHeight="1"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spans="2:12" ht="29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2:12" ht="29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2:12" ht="30" customHeight="1">
      <c r="B84" s="15" t="s">
        <v>81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</row>
    <row r="85" spans="2:12" ht="30" customHeight="1"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</row>
    <row r="86" spans="2:12" ht="29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2:12" ht="29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mergeCells count="60">
    <mergeCell ref="B74:L75"/>
    <mergeCell ref="B77:L78"/>
    <mergeCell ref="B80:L81"/>
    <mergeCell ref="B84:L85"/>
    <mergeCell ref="B57:F59"/>
    <mergeCell ref="H65:L65"/>
    <mergeCell ref="H66:K66"/>
    <mergeCell ref="H68:L69"/>
    <mergeCell ref="B71:L72"/>
    <mergeCell ref="B49:E49"/>
    <mergeCell ref="B51:E51"/>
    <mergeCell ref="B52:E52"/>
    <mergeCell ref="B53:E53"/>
    <mergeCell ref="B55:E55"/>
    <mergeCell ref="B40:E40"/>
    <mergeCell ref="B42:E42"/>
    <mergeCell ref="H41:L43"/>
    <mergeCell ref="B45:L45"/>
    <mergeCell ref="B47:F47"/>
    <mergeCell ref="H47:L47"/>
    <mergeCell ref="B36:E36"/>
    <mergeCell ref="B37:E37"/>
    <mergeCell ref="B39:E39"/>
    <mergeCell ref="H36:K36"/>
    <mergeCell ref="H37:K37"/>
    <mergeCell ref="H39:K39"/>
    <mergeCell ref="H27:L29"/>
    <mergeCell ref="B30:F31"/>
    <mergeCell ref="H30:L31"/>
    <mergeCell ref="B34:F34"/>
    <mergeCell ref="H34:L34"/>
    <mergeCell ref="B10:F10"/>
    <mergeCell ref="H10:L10"/>
    <mergeCell ref="B28:E28"/>
    <mergeCell ref="H12:K12"/>
    <mergeCell ref="H13:K13"/>
    <mergeCell ref="H14:K14"/>
    <mergeCell ref="H15:K15"/>
    <mergeCell ref="H16:K16"/>
    <mergeCell ref="H17:K17"/>
    <mergeCell ref="H18:K18"/>
    <mergeCell ref="H19:K19"/>
    <mergeCell ref="H20:K20"/>
    <mergeCell ref="H21:K21"/>
    <mergeCell ref="H22:K22"/>
    <mergeCell ref="H23:K23"/>
    <mergeCell ref="H25:K25"/>
    <mergeCell ref="B6:L6"/>
    <mergeCell ref="B8:E8"/>
    <mergeCell ref="H8:K8"/>
    <mergeCell ref="B9:F9"/>
    <mergeCell ref="H9:L9"/>
    <mergeCell ref="B2:L2"/>
    <mergeCell ref="B3:L3"/>
    <mergeCell ref="B4:E4"/>
    <mergeCell ref="F4:L4"/>
    <mergeCell ref="B5:D5"/>
    <mergeCell ref="E5:F5"/>
    <mergeCell ref="H5:J5"/>
    <mergeCell ref="K5:L5"/>
  </mergeCells>
  <conditionalFormatting sqref="F55">
    <cfRule type="cellIs" dxfId="0" priority="1" operator="lessThan">
      <formula>0</formula>
    </cfRule>
  </conditionalFormatting>
  <dataValidations count="2">
    <dataValidation type="decimal" operator="greaterThanOrEqual" sqref="D12:E27 F49 L8 L12:L23" xr:uid="{00000000-0002-0000-0000-000000000000}">
      <formula1>0</formula1>
    </dataValidation>
    <dataValidation type="whole" operator="greaterThan" sqref="F8" xr:uid="{00000000-0002-0000-0000-000004000000}">
      <formula1>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Empieza aqui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Carlo Morales Nevarez</cp:lastModifiedBy>
  <dcterms:created xsi:type="dcterms:W3CDTF">2026-10-20T22:34:31Z</dcterms:created>
  <dcterms:modified xsi:type="dcterms:W3CDTF">2026-10-20T22:34:31Z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2026-10-20T22:34:21Z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30522c61-612a-419c-9c48-c86c90e343d4</vt:lpwstr>
  </property>
  <property fmtid="{D5CDD505-2E9C-101B-9397-08002B2CF9AE}" pid="8" name="MSIP_Label_8ae3a633-3d5f-462b-ba19-31157bb9a57b_ContentBits">
    <vt:lpwstr>0</vt:lpwstr>
  </property>
</Properties>
</file>