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rlamaldonado/Documents/PERLA TOOLS/"/>
    </mc:Choice>
  </mc:AlternateContent>
  <xr:revisionPtr revIDLastSave="0" documentId="8_{3B853EF3-145C-484B-B9D8-B48D5556AA1D}" xr6:coauthVersionLast="47" xr6:coauthVersionMax="47" xr10:uidLastSave="{00000000-0000-0000-0000-000000000000}"/>
  <bookViews>
    <workbookView xWindow="0" yWindow="500" windowWidth="28800" windowHeight="16100" activeTab="1" xr2:uid="{4D6BB630-7FC3-0840-8977-D2BB8FCF8880}"/>
  </bookViews>
  <sheets>
    <sheet name="Bienvenido" sheetId="3" r:id="rId1"/>
    <sheet name="1) Captura tus ingresos " sheetId="1" r:id="rId2"/>
    <sheet name="2) Captura tus gastos" sheetId="2" r:id="rId3"/>
    <sheet name="3) Resultados" sheetId="4" r:id="rId4"/>
  </sheets>
  <externalReferences>
    <externalReference r:id="rId5"/>
  </externalReferences>
  <calcPr calcId="191029" concurrentCalc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4" l="1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N26" i="4"/>
  <c r="N18" i="4"/>
  <c r="P31" i="4"/>
  <c r="P38" i="4"/>
  <c r="N21" i="4"/>
  <c r="N22" i="4"/>
  <c r="N23" i="4"/>
  <c r="P37" i="4"/>
  <c r="P32" i="4"/>
  <c r="P35" i="4"/>
  <c r="P34" i="4"/>
  <c r="P33" i="4"/>
  <c r="N29" i="4"/>
  <c r="O29" i="4"/>
  <c r="N28" i="4"/>
  <c r="O28" i="4"/>
  <c r="N27" i="4"/>
  <c r="O27" i="4"/>
  <c r="O26" i="4"/>
  <c r="O23" i="4"/>
  <c r="O22" i="4"/>
  <c r="O21" i="4"/>
  <c r="N20" i="4"/>
  <c r="O20" i="4"/>
  <c r="N19" i="4"/>
  <c r="O19" i="4"/>
  <c r="O18" i="4"/>
  <c r="K14" i="4"/>
  <c r="C14" i="4"/>
  <c r="F5" i="4"/>
  <c r="B9" i="4"/>
  <c r="B2" i="4"/>
  <c r="B8" i="2"/>
  <c r="B7" i="2"/>
  <c r="B20" i="1"/>
  <c r="C72" i="4"/>
  <c r="C70" i="4"/>
  <c r="C69" i="4"/>
  <c r="C6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Perla Maldonado</author>
  </authors>
  <commentList>
    <comment ref="F5" authorId="0" shapeId="0" xr:uid="{00000000-0006-0000-0300-000001000000}">
      <text>
        <r>
          <rPr>
            <sz val="12"/>
            <color theme="1"/>
            <rFont val="Calibri"/>
            <family val="2"/>
            <scheme val="minor"/>
          </rPr>
          <t>Escala educativa ajustada; no es una calificación oficial.
Equilibrio (0–40): 40 − 20 × consumo/ingreso, limitado entre 0 y 40. Consumo = gastos totales menos ahorro/inversión. Aumentar el ingreso o reducir consumo mejora este componente sin el techo anterior al 20% de margen.
Ahorro (0–40): 40 × (ahorro/ingreso) ÷ 10%, limitado a 40. Aportar 10% o más obtiene el máximo.
Gastos ajustables (0–20): 20 × (1 − gastos de categorías 3, 4 y 5/ingreso), limitado entre 0 y 20. Usa ingreso como denominador para que reducir un gasto básico no baje estos puntos.
Se suman los tres componentes y se redondea a un decimal. Si las salidas totales superan el ingreso, se aplica un tope de 59.
Semáforo: 85–100 verde; 60 a menos de 85 amarillo; menos de 60 rojo. Sin ingreso y sin salidas: Sin datos; sin ingreso con salidas: 0.
El resultado puede repetirse si las proporciones son iguales. Un ingreso mayor con el mismo ahorro también puede reducir la tasa de ahorro.
Se mantienen las categorías originales; ingresos de una ocasión no equivalen a ingreso recurrente. La escala no mide patrimonio, deudas acumuladas ni suficiencia de seguros.</t>
        </r>
      </text>
    </comment>
  </commentList>
</comments>
</file>

<file path=xl/sharedStrings.xml><?xml version="1.0" encoding="utf-8"?>
<sst xmlns="http://schemas.openxmlformats.org/spreadsheetml/2006/main" count="190" uniqueCount="139">
  <si>
    <t>Captura aquí tus ingresos según la categoría que corresponda.</t>
  </si>
  <si>
    <t>Año de captura</t>
  </si>
  <si>
    <t>Mes de captura</t>
  </si>
  <si>
    <t>Octubre</t>
  </si>
  <si>
    <t>Sueldos, vales de despensa, etc.</t>
  </si>
  <si>
    <t>Ingreso principal recurrente que recibes cada mes con seguridad.</t>
  </si>
  <si>
    <t>Becas y otras ayudas económicas</t>
  </si>
  <si>
    <t>Becas y otros apoyos económicos que recibas en dinero.</t>
  </si>
  <si>
    <t>Prestaciones empleado</t>
  </si>
  <si>
    <t>Utilidades, prima vacacional, fondo de ahorro, aguinaldo, entre otros.</t>
  </si>
  <si>
    <t>Ingresos variables</t>
  </si>
  <si>
    <t>Comisiones, bonos por lograr ciertas metas, Ingresos por negocios, alquiler o ingresos como trabajador independiente</t>
  </si>
  <si>
    <t>Finiquito/Liquidación</t>
  </si>
  <si>
    <t>Cantidad que recibes al renunciar o ser despedido de una empresa.</t>
  </si>
  <si>
    <t>Otros ingresos</t>
  </si>
  <si>
    <t>Venta de algún bien, préstamos cobrados, inversiones recuperadas, etc.</t>
  </si>
  <si>
    <t>Ingresos</t>
  </si>
  <si>
    <t>Gastos</t>
  </si>
  <si>
    <t>Captura aquí tus gastos según la categoría que corresponda.</t>
  </si>
  <si>
    <t>Vivienda</t>
  </si>
  <si>
    <t>Monto de la renta o la aportación mensual del crédito, impuestos de la casa, gastos de notario, enganche en caso de compra, depósito en caso de renta, entre otros.</t>
  </si>
  <si>
    <t>Pago de Servicios</t>
  </si>
  <si>
    <t>Recibos de luz, agua, gas, celular e internet.</t>
  </si>
  <si>
    <t>Despensa</t>
  </si>
  <si>
    <t>El famoso "Súper" o compras en el mercado: Alimentos (para preparar), higiene personal, limpieza y hogar.</t>
  </si>
  <si>
    <t>Comidas preparadas fuera de casa</t>
  </si>
  <si>
    <t>Comida preparada fuera de casa, ya sea pedida a domicilio, para llevar o dentro del mismo restaurante.</t>
  </si>
  <si>
    <t>Salidas</t>
  </si>
  <si>
    <t>Salidas a eventos, al cine, con amigos, y otros lugares sociales para entretenimiento o propósitos similares.</t>
  </si>
  <si>
    <t>Imagen personal</t>
  </si>
  <si>
    <t>Dentista, corte de cabello, cremas, mascarillas, maquillaje, tatuajes, y todo lo relacionado a tu apariencia.</t>
  </si>
  <si>
    <t>Fitness</t>
  </si>
  <si>
    <t>Gimnasio, nutrición, suplementos, masajes y otros gastos relacionados con mantener una buena estado físico.</t>
  </si>
  <si>
    <t>Ropa, calzado y accesorios</t>
  </si>
  <si>
    <t>Ropa, calzado, gorras, relojes, cadenas, anillos, etc.</t>
  </si>
  <si>
    <t>Automóvil</t>
  </si>
  <si>
    <t>Mensualidad si lo estás pagando, mantenimiento, impuestos, carwash, placas, renovación licencia, multas, etc.</t>
  </si>
  <si>
    <t>Transporte</t>
  </si>
  <si>
    <t>Gasolina, Uber, Autobus, Metro y/u otros medios de transporte dentro de tu localidad.</t>
  </si>
  <si>
    <t>Educación</t>
  </si>
  <si>
    <t>Colegiaturas, cursos, seminarios, etc.</t>
  </si>
  <si>
    <t>Seguros</t>
  </si>
  <si>
    <t>De Auto, Vida, Gastos Médicos, Hogar, entre otros.</t>
  </si>
  <si>
    <t>Suscripciones de ocio</t>
  </si>
  <si>
    <t>Netflix, Spotify,, Amazon Prime, Disney+, y cualquier pago recurrente relacionado con el ocio.</t>
  </si>
  <si>
    <t>Gastos Hormiga</t>
  </si>
  <si>
    <t>Café de cafetería, refrescos, dulces, antojos varios, cervezas, cigarros y otros que de poco en poco suman mucho</t>
  </si>
  <si>
    <t>Viajes</t>
  </si>
  <si>
    <t>Avión, autobús, hospedaje y otros gastos relacionados con viajes planeados.</t>
  </si>
  <si>
    <t>Compra de algún bien duradero</t>
  </si>
  <si>
    <t>Por ejemplo electrodomésticos, sala, cocina, vajilla, entre otros.</t>
  </si>
  <si>
    <t>Entretenimiento</t>
  </si>
  <si>
    <t>Instrumentos musicales, videojuegos, consolas, y otros gastos relacionados con el entretenimiento.</t>
  </si>
  <si>
    <t>Mascotas</t>
  </si>
  <si>
    <t>Todo lo necesario para la manutención de tu mascota: alimento, juguetes, arena, rascadores, camita, veterinario, etc.</t>
  </si>
  <si>
    <t>Salud (recurrentes)</t>
  </si>
  <si>
    <t>Gastos recurrentes por consultas, estudios, medicamentos y otros gastos médicos de una enfermedad diagnósticada que sean presupuestables.</t>
  </si>
  <si>
    <t>Contador e impuestos</t>
  </si>
  <si>
    <t>Gastos relacionados con el cumplimiento de las obligaciones fiscales.</t>
  </si>
  <si>
    <t>Gastos imprevistos</t>
  </si>
  <si>
    <t>Reparaciones, gastos de atención médica, entre otros.</t>
  </si>
  <si>
    <t>Ahorro/Inversión</t>
  </si>
  <si>
    <t>Cualquier ahorro recurrente y metódico con un propósito definido, por ejemplo, ahorro para el retiro, fondo de emergencias, ahorro para iniciar algún negocio, entre otros.</t>
  </si>
  <si>
    <t>Otros</t>
  </si>
  <si>
    <t>Otros gastos como pago de préstamos bancarios o personales, psicólogo, impuestos, regalos, festejos y cualquier otro no mencionado anteriormente.</t>
  </si>
  <si>
    <t>¡Bienvenido(a)!</t>
  </si>
  <si>
    <r>
      <rPr>
        <sz val="14"/>
        <color theme="1"/>
        <rFont val="Arial"/>
        <family val="2"/>
      </rPr>
      <t xml:space="preserve">La calculadora financiera es una herramienta que tiene el propósito de </t>
    </r>
    <r>
      <rPr>
        <b/>
        <sz val="14"/>
        <color theme="1"/>
        <rFont val="Arial"/>
        <family val="2"/>
      </rPr>
      <t>evaluar tus finanzas personales de una forma simple y rápida</t>
    </r>
    <r>
      <rPr>
        <sz val="14"/>
        <color theme="1"/>
        <rFont val="Arial"/>
        <family val="2"/>
      </rPr>
      <t>.</t>
    </r>
  </si>
  <si>
    <t>Además, en ella podrás:</t>
  </si>
  <si>
    <t>• Concientizar tus hábitos financieros.</t>
  </si>
  <si>
    <t>• Conocer tu indicador de salud financiera.</t>
  </si>
  <si>
    <t>• Obtener recomendaciones para mejorar tu salud financiera.</t>
  </si>
  <si>
    <t>El archivo consiste en capturar tus ingresos y tus gastos según su categoría de forma mensual.</t>
  </si>
  <si>
    <t>A inicio de mes anota tus ingresos y a partir de ahí, de forma cotidiana, registra tus gastos para que a fin de mes veas cómo distribuiste tus ingresos.</t>
  </si>
  <si>
    <t>Recuerda ser constante y no olvides ningún gasto o ingreso.</t>
  </si>
  <si>
    <t>Esperamos que te ayude a descubrir qué tan bueno eres administrando tus finanzas.</t>
  </si>
  <si>
    <t>De esta forma se reflejará el flujo real por mes y el indicador de salud financiera</t>
  </si>
  <si>
    <t xml:space="preserve">Tu Indicador de salud financiera: </t>
  </si>
  <si>
    <t>Este indicador refleja qué tan saludables fueron tus hábitos este mes en una escala del 0 al 100.</t>
  </si>
  <si>
    <t>Este mes has tenido muy buenos resultados, ¡Sigue así!</t>
  </si>
  <si>
    <t>Composición de ingresos y gastos</t>
  </si>
  <si>
    <t>Gasto</t>
  </si>
  <si>
    <t>Gastos que se recomienda pausar o reducir en crisis económicas</t>
  </si>
  <si>
    <t>Gastos que se recomienda pausar o reducir en épocas ajustadas</t>
  </si>
  <si>
    <t>Gastos que se recomienda pausar o reducir en medida de lo posible sea cual sea tu situación</t>
  </si>
  <si>
    <t>Ingresos conocidos y estables en el largo plazo</t>
  </si>
  <si>
    <t>Ingresos conocidos o variables, estables en el mediano plazo</t>
  </si>
  <si>
    <t>Ingresos de una ocasión</t>
  </si>
  <si>
    <t>Desglose de gastos y su categoría</t>
  </si>
  <si>
    <t>Concepto</t>
  </si>
  <si>
    <t>Comportamientos</t>
  </si>
  <si>
    <t>INGRESOS TOTALES</t>
  </si>
  <si>
    <t>INGRESOS TOTALES:</t>
  </si>
  <si>
    <t>Leyendas</t>
  </si>
  <si>
    <t>GASTOS TOTALES</t>
  </si>
  <si>
    <t>Gastos indispensables que son complicados de eliminar o reducir</t>
  </si>
  <si>
    <t>Gastos importantes y saludables, se recomienda mantenerlos incluso en crisis si es posible</t>
  </si>
  <si>
    <t>GASTOS TOTALES:</t>
  </si>
  <si>
    <t>Detalle</t>
  </si>
  <si>
    <t>Años</t>
  </si>
  <si>
    <t>Meses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</si>
  <si>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</si>
  <si>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</si>
  <si>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</si>
  <si>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</si>
  <si>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</si>
  <si>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</si>
  <si>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</si>
  <si>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</si>
  <si>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</si>
  <si>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Noviembre</t>
  </si>
  <si>
    <t>Diciembre</t>
  </si>
  <si>
    <r>
      <t xml:space="preserve">Los </t>
    </r>
    <r>
      <rPr>
        <u/>
        <sz val="12"/>
        <color theme="1"/>
        <rFont val="Arial"/>
        <family val="2"/>
      </rPr>
      <t>gastos  que realices en tu tarjeta de crédito</t>
    </r>
    <r>
      <rPr>
        <sz val="12"/>
        <color theme="1"/>
        <rFont val="Arial"/>
        <family val="2"/>
      </rPr>
      <t xml:space="preserve"> debes capturarlos según su categoría en la fecha en que fueron adquiridos.  será más adecuado a tu situación. </t>
    </r>
  </si>
  <si>
    <t>Puedes reducir una parte importante de tus gastos, revisa la sección final e identifica las celdas en color naranja y/o rojo para conocer cuáles</t>
  </si>
  <si>
    <t>Saldo después de salidas</t>
  </si>
  <si>
    <t>Ahorro / ingresos</t>
  </si>
  <si>
    <t>Puntos antes del tope</t>
  </si>
  <si>
    <t>Margen (hasta 40)</t>
  </si>
  <si>
    <t>Ahorro (hasta 40)</t>
  </si>
  <si>
    <t>Gastos ajustables (hasta 20)</t>
  </si>
  <si>
    <t>Tope si hay déficit</t>
  </si>
  <si>
    <t>Tus salidas superan tus ingresos. Revisa el presupuesto y los gastos ajustables antes de comprometer más dinero.</t>
  </si>
  <si>
    <t>Cómo se forma tu calificación</t>
  </si>
  <si>
    <t>Componente</t>
  </si>
  <si>
    <t>Tus puntos</t>
  </si>
  <si>
    <t>Máximo</t>
  </si>
  <si>
    <t>Qué evalúa</t>
  </si>
  <si>
    <t>Equilibrio de gasto</t>
  </si>
  <si>
    <t>Mayor ingreso o menor consumo mejora estos puntos. El consumo excluye ahorro e inversión.</t>
  </si>
  <si>
    <t>Ahorro e inversión</t>
  </si>
  <si>
    <t>Ahorrar 10% o más del ingreso aporta 40 puntos; por debajo, se asignan proporcionalmente.</t>
  </si>
  <si>
    <t>Gastos ajustables</t>
  </si>
  <si>
    <t>Menos gasto de categorías 3, 4 y 5 respecto al ingreso mejora estos puntos.</t>
  </si>
  <si>
    <t>Tu resultado</t>
  </si>
  <si>
    <t>Reglas de lectura</t>
  </si>
  <si>
    <t>85 a 100: verde. De 60 a menos de 85: amarillo. Menos de 60: rojo.</t>
  </si>
  <si>
    <t>Si tus salidas superan el ingreso, el resultado no puede superar 59. Sin ingreso y con salidas: 0.</t>
  </si>
  <si>
    <t>La nota de F5 explica todos los criterios. La escala es educativa y requiere capturar el mes completo.</t>
  </si>
  <si>
    <t>Las cantidades distintas con proporciones iguales pueden obtener la misma nota. El ahorro alcanza su máximo al 10%.</t>
  </si>
  <si>
    <t>“Gastos totales” incluye ahorro/inversión, según el diseño original. Consumo = gastos totales menos ahorro/inversión.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</si>
</sst>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"/>
    <numFmt numFmtId="165" formatCode="&quot;$&quot;#,##0"/>
    <numFmt numFmtId="166" formatCode="0.0"/>
  </numFmts>
  <fonts count="4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61616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rgb="FF116E3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84719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rgb="FF847192"/>
      <name val="Calibri"/>
      <family val="2"/>
      <scheme val="minor"/>
    </font>
    <font>
      <b/>
      <sz val="20"/>
      <color rgb="FF84719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16E30"/>
      <name val="Calibri"/>
      <family val="2"/>
      <scheme val="minor"/>
    </font>
    <font>
      <i/>
      <sz val="12"/>
      <color rgb="FF116E3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b/>
      <i/>
      <sz val="12"/>
      <color theme="1"/>
      <name val="Calibri"/>
      <family val="2"/>
      <scheme val="minor"/>
    </font>
    <font>
      <b/>
      <sz val="14"/>
      <color rgb="FF116E30"/>
      <name val="Calibri"/>
      <family val="2"/>
      <scheme val="minor"/>
    </font>
    <font>
      <i/>
      <sz val="12"/>
      <color rgb="FF616162"/>
      <name val="Calibri"/>
      <family val="2"/>
      <scheme val="minor"/>
    </font>
    <font>
      <sz val="10"/>
      <color rgb="FF847192"/>
      <name val="Calibri"/>
      <family val="2"/>
      <scheme val="minor"/>
    </font>
    <font>
      <b/>
      <sz val="24"/>
      <color rgb="FF116E3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i/>
      <sz val="12"/>
      <color theme="0" tint="-0.499984740745262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4" tint="0.39994506668294322"/>
      <name val="Calibri"/>
      <family val="2"/>
      <scheme val="minor"/>
    </font>
    <font>
      <i/>
      <sz val="12"/>
      <color theme="4" tint="0.39994506668294322"/>
      <name val="Calibri"/>
      <family val="2"/>
      <scheme val="minor"/>
    </font>
    <font>
      <sz val="12"/>
      <color theme="5"/>
      <name val="Calibri"/>
      <family val="2"/>
      <scheme val="minor"/>
    </font>
    <font>
      <i/>
      <sz val="12"/>
      <color theme="5"/>
      <name val="Calibri"/>
      <family val="2"/>
      <scheme val="minor"/>
    </font>
    <font>
      <b/>
      <sz val="40"/>
      <color rgb="FF847192"/>
      <name val="Apple Braille"/>
    </font>
    <font>
      <b/>
      <sz val="48"/>
      <color rgb="FF847192"/>
      <name val="Apple Braille"/>
    </font>
    <font>
      <sz val="12"/>
      <color rgb="FF20202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116E3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6161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7" fillId="3" borderId="0" xfId="0" applyFont="1" applyFill="1" applyAlignment="1">
      <alignment horizontal="left"/>
    </xf>
    <xf numFmtId="0" fontId="8" fillId="2" borderId="0" xfId="0" applyFont="1" applyFill="1" applyProtection="1">
      <protection hidden="1"/>
    </xf>
    <xf numFmtId="0" fontId="0" fillId="2" borderId="0" xfId="0" applyFill="1" applyProtection="1">
      <protection hidden="1"/>
    </xf>
    <xf numFmtId="0" fontId="9" fillId="2" borderId="0" xfId="0" applyFont="1" applyFill="1" applyProtection="1">
      <protection hidden="1"/>
    </xf>
    <xf numFmtId="0" fontId="10" fillId="2" borderId="0" xfId="0" applyFont="1" applyFill="1" applyProtection="1">
      <protection hidden="1"/>
    </xf>
    <xf numFmtId="0" fontId="5" fillId="2" borderId="0" xfId="0" applyFont="1" applyFill="1" applyProtection="1">
      <protection hidden="1"/>
    </xf>
    <xf numFmtId="0" fontId="8" fillId="2" borderId="0" xfId="0" applyFont="1" applyFill="1" applyAlignment="1" applyProtection="1">
      <alignment vertical="top"/>
      <protection hidden="1"/>
    </xf>
    <xf numFmtId="0" fontId="5" fillId="2" borderId="0" xfId="0" applyFont="1" applyFill="1" applyAlignment="1" applyProtection="1">
      <alignment vertical="top"/>
      <protection hidden="1"/>
    </xf>
    <xf numFmtId="0" fontId="3" fillId="2" borderId="0" xfId="0" applyFont="1" applyFill="1" applyAlignment="1" applyProtection="1">
      <alignment vertical="top"/>
      <protection hidden="1"/>
    </xf>
    <xf numFmtId="0" fontId="9" fillId="2" borderId="0" xfId="0" applyFont="1" applyFill="1" applyAlignment="1" applyProtection="1">
      <alignment vertical="top"/>
      <protection hidden="1"/>
    </xf>
    <xf numFmtId="0" fontId="11" fillId="2" borderId="0" xfId="0" applyFont="1" applyFill="1" applyProtection="1">
      <protection hidden="1"/>
    </xf>
    <xf numFmtId="165" fontId="9" fillId="2" borderId="0" xfId="0" applyNumberFormat="1" applyFont="1" applyFill="1" applyProtection="1">
      <protection hidden="1"/>
    </xf>
    <xf numFmtId="9" fontId="9" fillId="2" borderId="0" xfId="0" applyNumberFormat="1" applyFont="1" applyFill="1" applyProtection="1">
      <protection hidden="1"/>
    </xf>
    <xf numFmtId="1" fontId="11" fillId="2" borderId="0" xfId="0" applyNumberFormat="1" applyFont="1" applyFill="1" applyProtection="1">
      <protection hidden="1"/>
    </xf>
    <xf numFmtId="0" fontId="12" fillId="2" borderId="0" xfId="0" applyFont="1" applyFill="1" applyProtection="1">
      <protection hidden="1"/>
    </xf>
    <xf numFmtId="164" fontId="2" fillId="2" borderId="0" xfId="0" applyNumberFormat="1" applyFont="1" applyFill="1"/>
    <xf numFmtId="9" fontId="9" fillId="2" borderId="0" xfId="1" applyFont="1" applyFill="1" applyAlignment="1" applyProtection="1">
      <alignment horizontal="center"/>
      <protection hidden="1"/>
    </xf>
    <xf numFmtId="164" fontId="9" fillId="2" borderId="0" xfId="0" applyNumberFormat="1" applyFont="1" applyFill="1" applyProtection="1">
      <protection hidden="1"/>
    </xf>
    <xf numFmtId="0" fontId="13" fillId="2" borderId="0" xfId="0" applyFont="1" applyFill="1" applyAlignment="1" applyProtection="1">
      <alignment vertical="top"/>
      <protection hidden="1"/>
    </xf>
    <xf numFmtId="0" fontId="13" fillId="2" borderId="0" xfId="0" applyFont="1" applyFill="1" applyProtection="1">
      <protection hidden="1"/>
    </xf>
    <xf numFmtId="0" fontId="2" fillId="2" borderId="0" xfId="0" applyFont="1" applyFill="1"/>
    <xf numFmtId="0" fontId="15" fillId="2" borderId="0" xfId="0" applyFont="1" applyFill="1" applyProtection="1">
      <protection hidden="1"/>
    </xf>
    <xf numFmtId="0" fontId="17" fillId="2" borderId="0" xfId="0" applyFont="1" applyFill="1" applyAlignment="1" applyProtection="1">
      <alignment horizontal="right"/>
      <protection hidden="1"/>
    </xf>
    <xf numFmtId="164" fontId="18" fillId="2" borderId="0" xfId="0" applyNumberFormat="1" applyFont="1" applyFill="1" applyAlignment="1">
      <alignment horizontal="left"/>
    </xf>
    <xf numFmtId="0" fontId="16" fillId="5" borderId="2" xfId="0" applyFont="1" applyFill="1" applyBorder="1" applyAlignment="1" applyProtection="1">
      <alignment horizontal="left" indent="1"/>
      <protection hidden="1"/>
    </xf>
    <xf numFmtId="0" fontId="23" fillId="2" borderId="0" xfId="0" applyFont="1" applyFill="1"/>
    <xf numFmtId="0" fontId="20" fillId="2" borderId="0" xfId="0" applyFont="1" applyFill="1"/>
    <xf numFmtId="0" fontId="14" fillId="2" borderId="0" xfId="0" applyFont="1" applyFill="1"/>
    <xf numFmtId="0" fontId="25" fillId="2" borderId="0" xfId="0" applyFont="1" applyFill="1"/>
    <xf numFmtId="0" fontId="26" fillId="2" borderId="0" xfId="0" applyFont="1" applyFill="1"/>
    <xf numFmtId="0" fontId="26" fillId="2" borderId="0" xfId="0" applyFont="1" applyFill="1" applyAlignment="1">
      <alignment horizontal="right"/>
    </xf>
    <xf numFmtId="0" fontId="27" fillId="2" borderId="0" xfId="0" applyFont="1" applyFill="1"/>
    <xf numFmtId="0" fontId="9" fillId="0" borderId="0" xfId="0" applyFont="1" applyProtection="1">
      <protection hidden="1"/>
    </xf>
    <xf numFmtId="0" fontId="15" fillId="2" borderId="0" xfId="0" applyFont="1" applyFill="1"/>
    <xf numFmtId="0" fontId="28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center"/>
      <protection hidden="1"/>
    </xf>
    <xf numFmtId="165" fontId="9" fillId="2" borderId="0" xfId="0" applyNumberFormat="1" applyFont="1" applyFill="1" applyAlignment="1" applyProtection="1">
      <alignment horizontal="center"/>
      <protection hidden="1"/>
    </xf>
    <xf numFmtId="9" fontId="9" fillId="2" borderId="0" xfId="0" applyNumberFormat="1" applyFont="1" applyFill="1" applyAlignment="1" applyProtection="1">
      <alignment horizontal="center"/>
      <protection hidden="1"/>
    </xf>
    <xf numFmtId="0" fontId="21" fillId="2" borderId="2" xfId="0" applyFont="1" applyFill="1" applyBorder="1" applyAlignment="1" applyProtection="1">
      <alignment horizontal="left" indent="1"/>
      <protection hidden="1"/>
    </xf>
    <xf numFmtId="44" fontId="21" fillId="2" borderId="2" xfId="0" applyNumberFormat="1" applyFont="1" applyFill="1" applyBorder="1" applyProtection="1">
      <protection hidden="1"/>
    </xf>
    <xf numFmtId="0" fontId="30" fillId="2" borderId="2" xfId="0" applyFont="1" applyFill="1" applyBorder="1" applyAlignment="1" applyProtection="1">
      <alignment horizontal="left" indent="1"/>
      <protection hidden="1"/>
    </xf>
    <xf numFmtId="44" fontId="30" fillId="2" borderId="2" xfId="0" applyNumberFormat="1" applyFont="1" applyFill="1" applyBorder="1" applyProtection="1">
      <protection hidden="1"/>
    </xf>
    <xf numFmtId="0" fontId="19" fillId="2" borderId="2" xfId="0" applyFont="1" applyFill="1" applyBorder="1" applyAlignment="1" applyProtection="1">
      <alignment horizontal="left" indent="1"/>
      <protection hidden="1"/>
    </xf>
    <xf numFmtId="44" fontId="19" fillId="2" borderId="2" xfId="0" applyNumberFormat="1" applyFont="1" applyFill="1" applyBorder="1" applyProtection="1">
      <protection hidden="1"/>
    </xf>
    <xf numFmtId="0" fontId="33" fillId="2" borderId="2" xfId="0" applyFont="1" applyFill="1" applyBorder="1" applyAlignment="1" applyProtection="1">
      <alignment horizontal="left" indent="1"/>
      <protection hidden="1"/>
    </xf>
    <xf numFmtId="44" fontId="33" fillId="2" borderId="2" xfId="0" applyNumberFormat="1" applyFont="1" applyFill="1" applyBorder="1" applyProtection="1">
      <protection hidden="1"/>
    </xf>
    <xf numFmtId="0" fontId="35" fillId="2" borderId="2" xfId="0" applyFont="1" applyFill="1" applyBorder="1" applyAlignment="1" applyProtection="1">
      <alignment horizontal="left" indent="1"/>
      <protection hidden="1"/>
    </xf>
    <xf numFmtId="44" fontId="35" fillId="2" borderId="2" xfId="0" applyNumberFormat="1" applyFont="1" applyFill="1" applyBorder="1" applyProtection="1">
      <protection hidden="1"/>
    </xf>
    <xf numFmtId="0" fontId="38" fillId="2" borderId="0" xfId="0" applyFont="1" applyFill="1" applyProtection="1">
      <protection hidden="1"/>
    </xf>
    <xf numFmtId="0" fontId="37" fillId="2" borderId="0" xfId="0" applyFont="1" applyFill="1"/>
    <xf numFmtId="44" fontId="0" fillId="2" borderId="1" xfId="0" applyNumberFormat="1" applyFill="1" applyBorder="1" applyProtection="1">
      <protection locked="0"/>
    </xf>
    <xf numFmtId="44" fontId="0" fillId="2" borderId="0" xfId="0" applyNumberFormat="1" applyFill="1"/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right"/>
      <protection locked="0"/>
    </xf>
    <xf numFmtId="166" fontId="29" fillId="4" borderId="0" xfId="0" applyNumberFormat="1" applyFont="1" applyFill="1" applyAlignment="1" applyProtection="1">
      <alignment horizontal="center"/>
      <protection hidden="1"/>
    </xf>
    <xf numFmtId="166" fontId="29" fillId="0" borderId="0" xfId="0" applyNumberFormat="1" applyFont="1" applyAlignment="1" applyProtection="1">
      <alignment horizontal="center"/>
      <protection hidden="1"/>
    </xf>
    <xf numFmtId="0" fontId="39" fillId="0" borderId="0" xfId="0" applyFont="1" applyAlignment="1" applyProtection="1">
      <alignment horizontal="left" vertical="center" wrapText="1" indent="1"/>
      <protection hidden="1"/>
    </xf>
    <xf numFmtId="0" fontId="9" fillId="2" borderId="0" xfId="0" applyFont="1" applyFill="1" applyAlignment="1" applyProtection="1">
      <alignment horizontal="center"/>
      <protection hidden="1"/>
    </xf>
    <xf numFmtId="0" fontId="17" fillId="2" borderId="0" xfId="0" applyFont="1" applyFill="1" applyAlignment="1" applyProtection="1">
      <alignment horizontal="right"/>
      <protection hidden="1"/>
    </xf>
    <xf numFmtId="164" fontId="18" fillId="2" borderId="0" xfId="0" applyNumberFormat="1" applyFont="1" applyFill="1" applyAlignment="1">
      <alignment horizontal="left"/>
    </xf>
    <xf numFmtId="0" fontId="31" fillId="2" borderId="2" xfId="0" applyFont="1" applyFill="1" applyBorder="1" applyAlignment="1" applyProtection="1">
      <alignment horizontal="left" indent="1"/>
      <protection hidden="1"/>
    </xf>
    <xf numFmtId="0" fontId="16" fillId="5" borderId="3" xfId="0" applyFont="1" applyFill="1" applyBorder="1" applyAlignment="1" applyProtection="1">
      <alignment horizontal="left" indent="1"/>
      <protection hidden="1"/>
    </xf>
    <xf numFmtId="0" fontId="16" fillId="5" borderId="4" xfId="0" applyFont="1" applyFill="1" applyBorder="1" applyAlignment="1" applyProtection="1">
      <alignment horizontal="left" indent="1"/>
      <protection hidden="1"/>
    </xf>
    <xf numFmtId="0" fontId="16" fillId="5" borderId="5" xfId="0" applyFont="1" applyFill="1" applyBorder="1" applyAlignment="1" applyProtection="1">
      <alignment horizontal="left" indent="1"/>
      <protection hidden="1"/>
    </xf>
    <xf numFmtId="0" fontId="22" fillId="2" borderId="2" xfId="0" applyFont="1" applyFill="1" applyBorder="1" applyAlignment="1" applyProtection="1">
      <alignment horizontal="left" indent="1"/>
      <protection hidden="1"/>
    </xf>
    <xf numFmtId="0" fontId="36" fillId="2" borderId="2" xfId="0" applyFont="1" applyFill="1" applyBorder="1" applyAlignment="1" applyProtection="1">
      <alignment horizontal="left" indent="1"/>
      <protection hidden="1"/>
    </xf>
    <xf numFmtId="0" fontId="34" fillId="2" borderId="2" xfId="0" applyFont="1" applyFill="1" applyBorder="1" applyAlignment="1" applyProtection="1">
      <alignment horizontal="left" indent="1"/>
      <protection hidden="1"/>
    </xf>
    <xf numFmtId="0" fontId="32" fillId="2" borderId="2" xfId="0" applyFont="1" applyFill="1" applyBorder="1" applyAlignment="1" applyProtection="1">
      <alignment horizontal="left" indent="1"/>
      <protection hidden="1"/>
    </xf>
    <xf numFmtId="0" fontId="10" fillId="2" borderId="0" xfId="0" applyFont="1" applyFill="1" applyProtection="1">
      <protection hidden="1"/>
    </xf>
    <xf numFmtId="0" fontId="0" fillId="2" borderId="0" xfId="0" applyFill="1"/>
    <xf numFmtId="0" fontId="16" fillId="5" borderId="2" xfId="0" applyFont="1" applyFill="1" applyBorder="1" applyAlignment="1" applyProtection="1">
      <alignment horizontal="left" indent="1"/>
      <protection hidden="1"/>
    </xf>
    <xf numFmtId="0" fontId="39" fillId="0" borderId="0" xfId="0" applyFont="1" applyAlignment="1" applyProtection="1">
      <alignment horizontal="left" vertical="center" wrapText="1" indent="1"/>
      <protection hidden="1"/>
    </xf>
  </cellXfs>
  <cellStyles count="2">
    <cellStyle name="Normal" xfId="0" builtinId="0"/>
    <cellStyle name="Porcentaje" xfId="1" builtinId="5"/>
  </cellStyles>
  <dxfs count="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C000"/>
        </patternFill>
      </fill>
    </dxf>
    <dxf>
      <font>
        <color theme="0"/>
      </font>
      <fill>
        <patternFill patternType="solid">
          <fgColor rgb="FF116E30"/>
          <bgColor rgb="FF116E30"/>
        </patternFill>
      </fill>
    </dxf>
    <dxf>
      <fill>
        <patternFill patternType="solid">
          <fgColor rgb="FFFFE599"/>
          <bgColor rgb="FFFFE599"/>
        </patternFill>
      </fill>
    </dxf>
  </dxfs>
  <tableStyles count="0" defaultTableStyle="TableStyleMedium2" defaultPivotStyle="PivotStyleLight16"/>
  <colors>
    <mruColors>
      <color rgb="FFFF9929"/>
      <color rgb="FFFFC55D"/>
      <color rgb="FFFFDA66"/>
      <color rgb="FFFFF896"/>
      <color rgb="FF116E30"/>
      <color rgb="FF8471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'3) Resultados'!$O$27:$O$29</c:f>
              <c:strCache>
                <c:ptCount val="3"/>
                <c:pt idx="0">
                  <c:v>0%</c:v>
                </c:pt>
                <c:pt idx="1">
                  <c:v>0%</c:v>
                </c:pt>
                <c:pt idx="2">
                  <c:v>0%</c:v>
                </c:pt>
              </c:strCache>
            </c:strRef>
          </c:tx>
          <c:spPr>
            <a:solidFill>
              <a:srgbClr val="116E30"/>
            </a:solidFill>
          </c:spPr>
          <c:dPt>
            <c:idx val="0"/>
            <c:bubble3D val="0"/>
            <c:spPr>
              <a:solidFill>
                <a:srgbClr val="116E3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2-4143-AE05-9D8E364BD787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2-4143-AE05-9D8E364BD78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2-4143-AE05-9D8E364BD78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'3) Resultados'!$P$27:$P$29</c:f>
              <c:strCache>
                <c:ptCount val="3"/>
                <c:pt idx="0">
                  <c:v>Ingresos conocidos y estables en el largo plazo</c:v>
                </c:pt>
                <c:pt idx="1">
                  <c:v>Ingresos conocidos o variables, estables en el mediano plazo</c:v>
                </c:pt>
                <c:pt idx="2">
                  <c:v>Ingresos de una ocasión</c:v>
                </c:pt>
              </c:strCache>
            </c:strRef>
          </c:cat>
          <c:val>
            <c:numRef>
              <c:f>'3) Resultados'!$O$27:$O$29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52-4143-AE05-9D8E364BD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'3) Resultados'!$O$19:$O$23</c:f>
              <c:strCache>
                <c:ptCount val="5"/>
                <c:pt idx="0">
                  <c:v>0%</c:v>
                </c:pt>
                <c:pt idx="1">
                  <c:v>0%</c:v>
                </c:pt>
                <c:pt idx="2">
                  <c:v>0%</c:v>
                </c:pt>
                <c:pt idx="3">
                  <c:v>0%</c:v>
                </c:pt>
                <c:pt idx="4">
                  <c:v>0%</c:v>
                </c:pt>
              </c:strCache>
            </c:strRef>
          </c:tx>
          <c:dPt>
            <c:idx val="0"/>
            <c:bubble3D val="0"/>
            <c:spPr>
              <a:solidFill>
                <a:srgbClr val="116E3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0A-6349-A699-52528523B1C1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0A-6349-A699-52528523B1C1}"/>
              </c:ext>
            </c:extLst>
          </c:dPt>
          <c:dPt>
            <c:idx val="2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0A-6349-A699-52528523B1C1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0A-6349-A699-52528523B1C1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0A-6349-A699-52528523B1C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'3) Resultados'!$P$19:$P$23</c:f>
              <c:strCache>
                <c:ptCount val="5"/>
                <c:pt idx="0">
                  <c:v>Gastos indispensables que son complicados de eliminar o reducir</c:v>
                </c:pt>
                <c:pt idx="1">
                  <c:v>Gastos importantes y saludables, se recomienda mantenerlos incluso en crisis si es posible</c:v>
                </c:pt>
                <c:pt idx="2">
                  <c:v>Gastos que se recomienda pausar o reducir en crisis económicas</c:v>
                </c:pt>
                <c:pt idx="3">
                  <c:v>Gastos que se recomienda pausar o reducir en épocas ajustadas</c:v>
                </c:pt>
                <c:pt idx="4">
                  <c:v>Gastos que se recomienda pausar o reducir en medida de lo posible sea cual sea tu situación</c:v>
                </c:pt>
              </c:strCache>
            </c:strRef>
          </c:cat>
          <c:val>
            <c:numRef>
              <c:f>'3) Resultados'!$O$19:$O$23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0A-6349-A699-52528523B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533286074744942"/>
          <c:y val="3.4850084545107914E-2"/>
          <c:w val="0.37126019794064458"/>
          <c:h val="0.933979194602093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25400</xdr:rowOff>
    </xdr:from>
    <xdr:to>
      <xdr:col>3</xdr:col>
      <xdr:colOff>533400</xdr:colOff>
      <xdr:row>27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58440D-DD48-8348-9C1C-B7D9381DEE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338" t="25053" r="18554" b="28213"/>
        <a:stretch/>
      </xdr:blipFill>
      <xdr:spPr>
        <a:xfrm>
          <a:off x="0" y="5283200"/>
          <a:ext cx="3009900" cy="1231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241300</xdr:colOff>
      <xdr:row>0</xdr:row>
      <xdr:rowOff>0</xdr:rowOff>
    </xdr:from>
    <xdr:to>
      <xdr:col>13</xdr:col>
      <xdr:colOff>774700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A05844-AAF7-0F4D-B3A1-CB73BDF658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338" t="25053" r="18554" b="28213"/>
        <a:stretch/>
      </xdr:blipFill>
      <xdr:spPr>
        <a:xfrm>
          <a:off x="11315700" y="0"/>
          <a:ext cx="3009900" cy="1231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635000</xdr:colOff>
      <xdr:row>0</xdr:row>
      <xdr:rowOff>0</xdr:rowOff>
    </xdr:from>
    <xdr:to>
      <xdr:col>16</xdr:col>
      <xdr:colOff>342900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1B3B020-6AE2-8145-8EDD-A385328073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338" t="25053" r="18554" b="28213"/>
        <a:stretch/>
      </xdr:blipFill>
      <xdr:spPr>
        <a:xfrm>
          <a:off x="13754100" y="0"/>
          <a:ext cx="3009900" cy="1231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330200</xdr:colOff>
      <xdr:row>0</xdr:row>
      <xdr:rowOff>0</xdr:rowOff>
    </xdr:from>
    <xdr:to>
      <xdr:col>14</xdr:col>
      <xdr:colOff>38100</xdr:colOff>
      <xdr:row>3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6EB83D-0429-D64E-965E-25079FE7A8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338" t="25053" r="18554" b="28213"/>
        <a:stretch/>
      </xdr:blipFill>
      <xdr:spPr>
        <a:xfrm>
          <a:off x="10896600" y="0"/>
          <a:ext cx="3009900" cy="1231900"/>
        </a:xfrm>
        <a:prstGeom prst="rect">
          <a:avLst/>
        </a:prstGeom>
      </xdr:spPr>
    </xdr:pic>
    <xdr:clientData/>
  </xdr:twoCellAnchor>
  <xdr:twoCellAnchor>
    <xdr:from>
      <xdr:col>1</xdr:col>
      <xdr:colOff>67233</xdr:colOff>
      <xdr:row>15</xdr:row>
      <xdr:rowOff>17930</xdr:rowOff>
    </xdr:from>
    <xdr:to>
      <xdr:col>5</xdr:col>
      <xdr:colOff>507161</xdr:colOff>
      <xdr:row>35</xdr:row>
      <xdr:rowOff>62754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5C72C1-7C13-A149-9D53-E335623F7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150904</xdr:colOff>
      <xdr:row>15</xdr:row>
      <xdr:rowOff>6724</xdr:rowOff>
    </xdr:from>
    <xdr:to>
      <xdr:col>14</xdr:col>
      <xdr:colOff>50799</xdr:colOff>
      <xdr:row>35</xdr:row>
      <xdr:rowOff>51548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03D1C29-2B13-9744-AF28-AC635227B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482600</xdr:colOff>
      <xdr:row>54</xdr:row>
      <xdr:rowOff>177800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8FC6C629-5928-FF34-33D0-6BCEA353C8F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482600</xdr:colOff>
      <xdr:row>55</xdr:row>
      <xdr:rowOff>38100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0A20AC-25A5-EDC0-8AFA-F8D0BAE605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700000" cy="1270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MORALESN/Downloads/Calculadora-Financiera-by-Cooltura-Financiera-Ot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envenido(a)"/>
      <sheetName val="1) Captura aquí tus ingresos"/>
      <sheetName val="2) Captura aquí tus gastos"/>
      <sheetName val="3) Resultados"/>
      <sheetName val="Listas"/>
    </sheetNames>
    <sheetDataSet>
      <sheetData sheetId="0"/>
      <sheetData sheetId="1">
        <row r="6">
          <cell r="C6" t="str">
            <v>Año de captura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AE9F-2ECC-BE45-8161-7880E131197F}">
  <dimension ref="A1:B44"/>
  <sheetViews>
    <sheetView workbookViewId="0">
      <selection activeCell="L10" sqref="L10"/>
    </sheetView>
  </sheetViews>
  <sheetFormatPr baseColWidth="10" defaultRowHeight="16" x14ac:dyDescent="0.2"/>
  <cols>
    <col min="1" max="16384" width="10.83203125" style="1"/>
  </cols>
  <sheetData>
    <row r="1" spans="1:1" ht="45" x14ac:dyDescent="0.35">
      <c r="A1" s="55" t="s">
        <v>65</v>
      </c>
    </row>
    <row r="3" spans="1:1" ht="19" x14ac:dyDescent="0.25">
      <c r="A3" s="3"/>
    </row>
    <row r="4" spans="1:1" ht="19" x14ac:dyDescent="0.25">
      <c r="A4" s="4" t="s">
        <v>66</v>
      </c>
    </row>
    <row r="5" spans="1:1" ht="19" x14ac:dyDescent="0.25">
      <c r="A5" s="4"/>
    </row>
    <row r="6" spans="1:1" ht="19" x14ac:dyDescent="0.25">
      <c r="A6" s="4" t="s">
        <v>67</v>
      </c>
    </row>
    <row r="7" spans="1:1" ht="19" x14ac:dyDescent="0.25">
      <c r="A7" s="4" t="s">
        <v>68</v>
      </c>
    </row>
    <row r="8" spans="1:1" ht="19" x14ac:dyDescent="0.25">
      <c r="A8" s="4" t="s">
        <v>69</v>
      </c>
    </row>
    <row r="9" spans="1:1" ht="19" x14ac:dyDescent="0.25">
      <c r="A9" s="4" t="s">
        <v>70</v>
      </c>
    </row>
    <row r="10" spans="1:1" ht="19" x14ac:dyDescent="0.25">
      <c r="A10" s="4"/>
    </row>
    <row r="11" spans="1:1" ht="19" x14ac:dyDescent="0.25">
      <c r="A11" s="4" t="s">
        <v>71</v>
      </c>
    </row>
    <row r="12" spans="1:1" ht="19" x14ac:dyDescent="0.25">
      <c r="A12" s="4"/>
    </row>
    <row r="13" spans="1:1" ht="19" x14ac:dyDescent="0.25">
      <c r="A13" s="4" t="s">
        <v>72</v>
      </c>
    </row>
    <row r="14" spans="1:1" ht="19" x14ac:dyDescent="0.25">
      <c r="A14" s="4"/>
    </row>
    <row r="15" spans="1:1" ht="18" x14ac:dyDescent="0.2">
      <c r="A15" s="5" t="s">
        <v>73</v>
      </c>
    </row>
    <row r="16" spans="1:1" ht="19" x14ac:dyDescent="0.25">
      <c r="A16" s="4"/>
    </row>
    <row r="17" spans="1:2" ht="19" x14ac:dyDescent="0.25">
      <c r="A17" s="4" t="s">
        <v>74</v>
      </c>
    </row>
    <row r="32" spans="1:2" x14ac:dyDescent="0.2">
      <c r="A32" s="25" t="s">
        <v>98</v>
      </c>
      <c r="B32" s="25" t="s">
        <v>99</v>
      </c>
    </row>
    <row r="33" spans="1:2" x14ac:dyDescent="0.2">
      <c r="A33" s="25">
        <v>2022</v>
      </c>
      <c r="B33" s="25" t="s">
        <v>100</v>
      </c>
    </row>
    <row r="34" spans="1:2" x14ac:dyDescent="0.2">
      <c r="A34" s="25">
        <v>2023</v>
      </c>
      <c r="B34" s="25" t="s">
        <v>101</v>
      </c>
    </row>
    <row r="35" spans="1:2" x14ac:dyDescent="0.2">
      <c r="A35" s="25">
        <v>2024</v>
      </c>
      <c r="B35" s="25" t="s">
        <v>102</v>
      </c>
    </row>
    <row r="36" spans="1:2" x14ac:dyDescent="0.2">
      <c r="A36" s="25">
        <v>2025</v>
      </c>
      <c r="B36" s="25" t="s">
        <v>103</v>
      </c>
    </row>
    <row r="37" spans="1:2" x14ac:dyDescent="0.2">
      <c r="A37" s="25">
        <v>2026</v>
      </c>
      <c r="B37" s="25" t="s">
        <v>104</v>
      </c>
    </row>
    <row r="38" spans="1:2" x14ac:dyDescent="0.2">
      <c r="A38" s="25">
        <v>2027</v>
      </c>
      <c r="B38" s="25" t="s">
        <v>105</v>
      </c>
    </row>
    <row r="39" spans="1:2" x14ac:dyDescent="0.2">
      <c r="A39" s="25">
        <v>2028</v>
      </c>
      <c r="B39" s="25" t="s">
        <v>106</v>
      </c>
    </row>
    <row r="40" spans="1:2" x14ac:dyDescent="0.2">
      <c r="A40" s="25">
        <v>2029</v>
      </c>
      <c r="B40" s="25" t="s">
        <v>107</v>
      </c>
    </row>
    <row r="41" spans="1:2" x14ac:dyDescent="0.2">
      <c r="A41" s="25">
        <v>2030</v>
      </c>
      <c r="B41" s="25" t="s">
        <v>108</v>
      </c>
    </row>
    <row r="42" spans="1:2" x14ac:dyDescent="0.2">
      <c r="A42" s="25"/>
      <c r="B42" s="25" t="s">
        <v>3</v>
      </c>
    </row>
    <row r="43" spans="1:2" x14ac:dyDescent="0.2">
      <c r="A43" s="25"/>
      <c r="B43" s="25" t="s">
        <v>109</v>
      </c>
    </row>
    <row r="44" spans="1:2" x14ac:dyDescent="0.2">
      <c r="A44" s="25"/>
      <c r="B44" s="25" t="s">
        <v>110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FA2D-A200-F541-AE5D-B331A524F85E}">
  <dimension ref="A1:D20"/>
  <sheetViews>
    <sheetView tabSelected="1" workbookViewId="0">
      <selection activeCell="B10" sqref="B10"/>
    </sheetView>
  </sheetViews>
  <sheetFormatPr baseColWidth="10" defaultRowHeight="16" x14ac:dyDescent="0.2"/>
  <cols>
    <col min="1" max="1" width="44.33203125" style="1" bestFit="1" customWidth="1"/>
    <col min="2" max="2" width="21.6640625" style="1" customWidth="1"/>
    <col min="3" max="3" width="3.5" style="1" customWidth="1"/>
    <col min="4" max="16384" width="10.83203125" style="1"/>
  </cols>
  <sheetData>
    <row r="1" spans="1:4" ht="53" x14ac:dyDescent="0.6">
      <c r="A1" s="55" t="s">
        <v>16</v>
      </c>
    </row>
    <row r="4" spans="1:4" x14ac:dyDescent="0.2">
      <c r="A4" s="1" t="s">
        <v>0</v>
      </c>
      <c r="C4" s="36"/>
      <c r="D4" s="36"/>
    </row>
    <row r="5" spans="1:4" x14ac:dyDescent="0.2">
      <c r="C5" s="36"/>
      <c r="D5" s="36"/>
    </row>
    <row r="6" spans="1:4" ht="19" x14ac:dyDescent="0.25">
      <c r="A6" s="34" t="s">
        <v>1</v>
      </c>
      <c r="B6" s="58">
        <v>2023</v>
      </c>
      <c r="C6" s="36"/>
      <c r="D6" s="36"/>
    </row>
    <row r="7" spans="1:4" ht="19" x14ac:dyDescent="0.25">
      <c r="A7" s="34" t="s">
        <v>2</v>
      </c>
      <c r="B7" s="59" t="s">
        <v>100</v>
      </c>
      <c r="C7" s="36"/>
      <c r="D7" s="36"/>
    </row>
    <row r="8" spans="1:4" x14ac:dyDescent="0.2">
      <c r="C8" s="36"/>
      <c r="D8" s="36"/>
    </row>
    <row r="9" spans="1:4" x14ac:dyDescent="0.2">
      <c r="A9" s="31" t="s">
        <v>4</v>
      </c>
      <c r="B9" s="56">
        <v>0</v>
      </c>
      <c r="C9" s="36"/>
      <c r="D9" s="32" t="s">
        <v>5</v>
      </c>
    </row>
    <row r="10" spans="1:4" x14ac:dyDescent="0.2">
      <c r="A10" s="31"/>
      <c r="B10" s="57"/>
      <c r="C10" s="36"/>
      <c r="D10" s="32"/>
    </row>
    <row r="11" spans="1:4" x14ac:dyDescent="0.2">
      <c r="A11" s="31" t="s">
        <v>6</v>
      </c>
      <c r="B11" s="56">
        <v>0</v>
      </c>
      <c r="C11" s="36"/>
      <c r="D11" s="32" t="s">
        <v>7</v>
      </c>
    </row>
    <row r="12" spans="1:4" x14ac:dyDescent="0.2">
      <c r="A12" s="31"/>
      <c r="B12" s="57"/>
      <c r="C12" s="36"/>
      <c r="D12" s="32"/>
    </row>
    <row r="13" spans="1:4" x14ac:dyDescent="0.2">
      <c r="A13" s="31" t="s">
        <v>8</v>
      </c>
      <c r="B13" s="56">
        <v>0</v>
      </c>
      <c r="C13" s="36"/>
      <c r="D13" s="32" t="s">
        <v>9</v>
      </c>
    </row>
    <row r="14" spans="1:4" x14ac:dyDescent="0.2">
      <c r="A14" s="31"/>
      <c r="B14" s="57"/>
      <c r="C14" s="36"/>
      <c r="D14" s="32"/>
    </row>
    <row r="15" spans="1:4" x14ac:dyDescent="0.2">
      <c r="A15" s="31" t="s">
        <v>10</v>
      </c>
      <c r="B15" s="56">
        <v>0</v>
      </c>
      <c r="C15" s="36"/>
      <c r="D15" s="32" t="s">
        <v>11</v>
      </c>
    </row>
    <row r="16" spans="1:4" x14ac:dyDescent="0.2">
      <c r="A16" s="31"/>
      <c r="B16" s="57"/>
      <c r="C16" s="36"/>
      <c r="D16" s="32"/>
    </row>
    <row r="17" spans="1:4" x14ac:dyDescent="0.2">
      <c r="A17" s="31" t="s">
        <v>12</v>
      </c>
      <c r="B17" s="56">
        <v>0</v>
      </c>
      <c r="C17" s="36"/>
      <c r="D17" s="32" t="s">
        <v>13</v>
      </c>
    </row>
    <row r="18" spans="1:4" x14ac:dyDescent="0.2">
      <c r="A18" s="31"/>
      <c r="B18" s="57"/>
      <c r="C18" s="36"/>
      <c r="D18" s="32"/>
    </row>
    <row r="19" spans="1:4" x14ac:dyDescent="0.2">
      <c r="A19" s="31" t="s">
        <v>14</v>
      </c>
      <c r="B19" s="56">
        <v>0</v>
      </c>
      <c r="C19" s="36"/>
      <c r="D19" s="32" t="s">
        <v>15</v>
      </c>
    </row>
    <row r="20" spans="1:4" x14ac:dyDescent="0.2">
      <c r="B20" s="20">
        <f>SUM(B9:B19)</f>
        <v>0</v>
      </c>
    </row>
  </sheetData>
  <dataValidations count="1">
    <dataValidation type="decimal" operator="greaterThanOrEqual" allowBlank="1" showDropDown="1" showInputMessage="1" prompt="Introduce un número mayor o igual que 0." sqref="B19" xr:uid="{E8A0DF91-90FF-C843-9AF3-1238BC804825}">
      <formula1>0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947A502E-D003-374C-84F6-71B1D21350B2}">
          <x14:formula1>
            <xm:f>Bienvenido!$B$33:$B$44</xm:f>
          </x14:formula1>
          <xm:sqref>B7</xm:sqref>
        </x14:dataValidation>
        <x14:dataValidation type="list" allowBlank="1" xr:uid="{425E6805-6269-CC43-AB04-EB004FD8C1CF}">
          <x14:formula1>
            <xm:f>Bienvenido!$A$33:$A$41</xm:f>
          </x14:formula1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D005-CC30-5A43-9F05-08EE3B4F4319}">
  <dimension ref="A1:D55"/>
  <sheetViews>
    <sheetView topLeftCell="A25" workbookViewId="0">
      <selection activeCell="B55" sqref="B55"/>
    </sheetView>
  </sheetViews>
  <sheetFormatPr baseColWidth="10" defaultRowHeight="16" x14ac:dyDescent="0.2"/>
  <cols>
    <col min="1" max="1" width="36.83203125" style="1" customWidth="1"/>
    <col min="2" max="2" width="20" style="1" customWidth="1"/>
    <col min="3" max="3" width="5.1640625" style="1" customWidth="1"/>
    <col min="4" max="16384" width="10.83203125" style="1"/>
  </cols>
  <sheetData>
    <row r="1" spans="1:4" ht="53" x14ac:dyDescent="0.6">
      <c r="A1" s="55" t="s">
        <v>17</v>
      </c>
    </row>
    <row r="3" spans="1:4" x14ac:dyDescent="0.2">
      <c r="A3" s="1" t="s">
        <v>18</v>
      </c>
    </row>
    <row r="4" spans="1:4" x14ac:dyDescent="0.2">
      <c r="A4" s="30" t="s">
        <v>111</v>
      </c>
    </row>
    <row r="5" spans="1:4" x14ac:dyDescent="0.2">
      <c r="A5" s="1" t="s">
        <v>75</v>
      </c>
    </row>
    <row r="7" spans="1:4" ht="19" x14ac:dyDescent="0.25">
      <c r="A7" s="34" t="s">
        <v>1</v>
      </c>
      <c r="B7" s="34">
        <f>'1) Captura tus ingresos '!B6</f>
        <v>2023</v>
      </c>
    </row>
    <row r="8" spans="1:4" ht="19" x14ac:dyDescent="0.25">
      <c r="A8" s="34" t="s">
        <v>2</v>
      </c>
      <c r="B8" s="35" t="str">
        <f>'1) Captura tus ingresos '!B7</f>
        <v>Enero</v>
      </c>
    </row>
    <row r="10" spans="1:4" x14ac:dyDescent="0.2">
      <c r="A10" s="31" t="s">
        <v>19</v>
      </c>
      <c r="B10" s="56">
        <v>0</v>
      </c>
      <c r="C10" s="32"/>
      <c r="D10" s="32" t="s">
        <v>20</v>
      </c>
    </row>
    <row r="11" spans="1:4" x14ac:dyDescent="0.2">
      <c r="A11" s="31"/>
      <c r="B11" s="57"/>
      <c r="C11" s="32"/>
      <c r="D11" s="32"/>
    </row>
    <row r="12" spans="1:4" x14ac:dyDescent="0.2">
      <c r="A12" s="31" t="s">
        <v>21</v>
      </c>
      <c r="B12" s="56">
        <v>0</v>
      </c>
      <c r="C12" s="32"/>
      <c r="D12" s="32" t="s">
        <v>22</v>
      </c>
    </row>
    <row r="13" spans="1:4" x14ac:dyDescent="0.2">
      <c r="A13" s="31"/>
      <c r="B13" s="57"/>
      <c r="C13" s="32"/>
      <c r="D13" s="32"/>
    </row>
    <row r="14" spans="1:4" x14ac:dyDescent="0.2">
      <c r="A14" s="31" t="s">
        <v>23</v>
      </c>
      <c r="B14" s="56">
        <v>0</v>
      </c>
      <c r="C14" s="32"/>
      <c r="D14" s="32" t="s">
        <v>24</v>
      </c>
    </row>
    <row r="15" spans="1:4" x14ac:dyDescent="0.2">
      <c r="A15" s="31"/>
      <c r="B15" s="57"/>
      <c r="C15" s="32"/>
      <c r="D15" s="32"/>
    </row>
    <row r="16" spans="1:4" x14ac:dyDescent="0.2">
      <c r="A16" s="31" t="s">
        <v>25</v>
      </c>
      <c r="B16" s="56">
        <v>0</v>
      </c>
      <c r="C16" s="32"/>
      <c r="D16" s="32" t="s">
        <v>26</v>
      </c>
    </row>
    <row r="17" spans="1:4" x14ac:dyDescent="0.2">
      <c r="A17" s="31"/>
      <c r="B17" s="57"/>
      <c r="C17" s="32"/>
      <c r="D17" s="32"/>
    </row>
    <row r="18" spans="1:4" x14ac:dyDescent="0.2">
      <c r="A18" s="31" t="s">
        <v>27</v>
      </c>
      <c r="B18" s="56">
        <v>0</v>
      </c>
      <c r="C18" s="32"/>
      <c r="D18" s="32" t="s">
        <v>28</v>
      </c>
    </row>
    <row r="19" spans="1:4" x14ac:dyDescent="0.2">
      <c r="A19" s="31"/>
      <c r="B19" s="57"/>
      <c r="C19" s="32"/>
      <c r="D19" s="32"/>
    </row>
    <row r="20" spans="1:4" x14ac:dyDescent="0.2">
      <c r="A20" s="31" t="s">
        <v>29</v>
      </c>
      <c r="B20" s="56">
        <v>0</v>
      </c>
      <c r="C20" s="32"/>
      <c r="D20" s="32" t="s">
        <v>30</v>
      </c>
    </row>
    <row r="21" spans="1:4" x14ac:dyDescent="0.2">
      <c r="A21" s="31"/>
      <c r="B21" s="57"/>
      <c r="C21" s="32"/>
      <c r="D21" s="32"/>
    </row>
    <row r="22" spans="1:4" x14ac:dyDescent="0.2">
      <c r="A22" s="31" t="s">
        <v>31</v>
      </c>
      <c r="B22" s="56">
        <v>0</v>
      </c>
      <c r="C22" s="32"/>
      <c r="D22" s="32" t="s">
        <v>32</v>
      </c>
    </row>
    <row r="23" spans="1:4" x14ac:dyDescent="0.2">
      <c r="A23" s="31"/>
      <c r="B23" s="57"/>
      <c r="C23" s="32"/>
      <c r="D23" s="32"/>
    </row>
    <row r="24" spans="1:4" x14ac:dyDescent="0.2">
      <c r="A24" s="31" t="s">
        <v>33</v>
      </c>
      <c r="B24" s="56">
        <v>0</v>
      </c>
      <c r="C24" s="32"/>
      <c r="D24" s="32" t="s">
        <v>34</v>
      </c>
    </row>
    <row r="25" spans="1:4" x14ac:dyDescent="0.2">
      <c r="A25" s="31"/>
      <c r="B25" s="57"/>
      <c r="C25" s="32"/>
      <c r="D25" s="32"/>
    </row>
    <row r="26" spans="1:4" x14ac:dyDescent="0.2">
      <c r="A26" s="31" t="s">
        <v>35</v>
      </c>
      <c r="B26" s="56">
        <v>0</v>
      </c>
      <c r="C26" s="32"/>
      <c r="D26" s="32" t="s">
        <v>36</v>
      </c>
    </row>
    <row r="27" spans="1:4" x14ac:dyDescent="0.2">
      <c r="A27" s="31"/>
      <c r="B27" s="57"/>
      <c r="C27" s="32"/>
      <c r="D27" s="32"/>
    </row>
    <row r="28" spans="1:4" x14ac:dyDescent="0.2">
      <c r="A28" s="31" t="s">
        <v>37</v>
      </c>
      <c r="B28" s="56">
        <v>0</v>
      </c>
      <c r="C28" s="32"/>
      <c r="D28" s="32" t="s">
        <v>38</v>
      </c>
    </row>
    <row r="29" spans="1:4" x14ac:dyDescent="0.2">
      <c r="A29" s="31"/>
      <c r="B29" s="57"/>
      <c r="C29" s="32"/>
      <c r="D29" s="32"/>
    </row>
    <row r="30" spans="1:4" x14ac:dyDescent="0.2">
      <c r="A30" s="31" t="s">
        <v>39</v>
      </c>
      <c r="B30" s="56">
        <v>0</v>
      </c>
      <c r="C30" s="32"/>
      <c r="D30" s="32" t="s">
        <v>40</v>
      </c>
    </row>
    <row r="31" spans="1:4" x14ac:dyDescent="0.2">
      <c r="A31" s="31"/>
      <c r="B31" s="57"/>
      <c r="C31" s="32"/>
      <c r="D31" s="32"/>
    </row>
    <row r="32" spans="1:4" x14ac:dyDescent="0.2">
      <c r="A32" s="31" t="s">
        <v>41</v>
      </c>
      <c r="B32" s="56">
        <v>0</v>
      </c>
      <c r="C32" s="32"/>
      <c r="D32" s="32" t="s">
        <v>42</v>
      </c>
    </row>
    <row r="33" spans="1:4" x14ac:dyDescent="0.2">
      <c r="A33" s="31"/>
      <c r="B33" s="57"/>
      <c r="C33" s="32"/>
      <c r="D33" s="32"/>
    </row>
    <row r="34" spans="1:4" x14ac:dyDescent="0.2">
      <c r="A34" s="31" t="s">
        <v>43</v>
      </c>
      <c r="B34" s="56">
        <v>0</v>
      </c>
      <c r="C34" s="32"/>
      <c r="D34" s="32" t="s">
        <v>44</v>
      </c>
    </row>
    <row r="35" spans="1:4" x14ac:dyDescent="0.2">
      <c r="A35" s="31"/>
      <c r="B35" s="57"/>
      <c r="C35" s="32"/>
      <c r="D35" s="32"/>
    </row>
    <row r="36" spans="1:4" x14ac:dyDescent="0.2">
      <c r="A36" s="31" t="s">
        <v>45</v>
      </c>
      <c r="B36" s="56">
        <v>0</v>
      </c>
      <c r="C36" s="32"/>
      <c r="D36" s="32" t="s">
        <v>46</v>
      </c>
    </row>
    <row r="37" spans="1:4" x14ac:dyDescent="0.2">
      <c r="A37" s="31"/>
      <c r="B37" s="57"/>
      <c r="C37" s="32"/>
      <c r="D37" s="32"/>
    </row>
    <row r="38" spans="1:4" x14ac:dyDescent="0.2">
      <c r="A38" s="31" t="s">
        <v>47</v>
      </c>
      <c r="B38" s="56">
        <v>0</v>
      </c>
      <c r="C38" s="32"/>
      <c r="D38" s="32" t="s">
        <v>48</v>
      </c>
    </row>
    <row r="39" spans="1:4" x14ac:dyDescent="0.2">
      <c r="A39" s="31"/>
      <c r="B39" s="57"/>
      <c r="C39" s="32"/>
      <c r="D39" s="32"/>
    </row>
    <row r="40" spans="1:4" x14ac:dyDescent="0.2">
      <c r="A40" s="31" t="s">
        <v>49</v>
      </c>
      <c r="B40" s="56">
        <v>0</v>
      </c>
      <c r="C40" s="32"/>
      <c r="D40" s="32" t="s">
        <v>50</v>
      </c>
    </row>
    <row r="41" spans="1:4" x14ac:dyDescent="0.2">
      <c r="A41" s="31"/>
      <c r="B41" s="57"/>
      <c r="C41" s="32"/>
      <c r="D41" s="32"/>
    </row>
    <row r="42" spans="1:4" x14ac:dyDescent="0.2">
      <c r="A42" s="31" t="s">
        <v>51</v>
      </c>
      <c r="B42" s="56">
        <v>0</v>
      </c>
      <c r="C42" s="32"/>
      <c r="D42" s="32" t="s">
        <v>52</v>
      </c>
    </row>
    <row r="43" spans="1:4" x14ac:dyDescent="0.2">
      <c r="A43" s="31"/>
      <c r="B43" s="57"/>
      <c r="C43" s="33"/>
      <c r="D43" s="33"/>
    </row>
    <row r="44" spans="1:4" x14ac:dyDescent="0.2">
      <c r="A44" s="31" t="s">
        <v>53</v>
      </c>
      <c r="B44" s="56">
        <v>0</v>
      </c>
      <c r="C44" s="32"/>
      <c r="D44" s="32" t="s">
        <v>54</v>
      </c>
    </row>
    <row r="45" spans="1:4" x14ac:dyDescent="0.2">
      <c r="A45" s="31"/>
      <c r="B45" s="57"/>
      <c r="C45" s="32"/>
      <c r="D45" s="32"/>
    </row>
    <row r="46" spans="1:4" x14ac:dyDescent="0.2">
      <c r="A46" s="31" t="s">
        <v>55</v>
      </c>
      <c r="B46" s="56">
        <v>0</v>
      </c>
      <c r="C46" s="32"/>
      <c r="D46" s="32" t="s">
        <v>56</v>
      </c>
    </row>
    <row r="47" spans="1:4" x14ac:dyDescent="0.2">
      <c r="A47" s="31"/>
      <c r="B47" s="57"/>
    </row>
    <row r="48" spans="1:4" x14ac:dyDescent="0.2">
      <c r="A48" s="31" t="s">
        <v>57</v>
      </c>
      <c r="B48" s="56">
        <v>0</v>
      </c>
      <c r="C48" s="32"/>
      <c r="D48" s="32" t="s">
        <v>58</v>
      </c>
    </row>
    <row r="49" spans="1:4" x14ac:dyDescent="0.2">
      <c r="B49" s="57"/>
    </row>
    <row r="50" spans="1:4" x14ac:dyDescent="0.2">
      <c r="A50" s="31" t="s">
        <v>59</v>
      </c>
      <c r="B50" s="56">
        <v>0</v>
      </c>
      <c r="C50" s="32"/>
      <c r="D50" s="32" t="s">
        <v>60</v>
      </c>
    </row>
    <row r="51" spans="1:4" x14ac:dyDescent="0.2">
      <c r="B51" s="57"/>
    </row>
    <row r="52" spans="1:4" x14ac:dyDescent="0.2">
      <c r="A52" s="31" t="s">
        <v>61</v>
      </c>
      <c r="B52" s="56">
        <v>0</v>
      </c>
      <c r="C52" s="32"/>
      <c r="D52" s="32" t="s">
        <v>62</v>
      </c>
    </row>
    <row r="53" spans="1:4" x14ac:dyDescent="0.2">
      <c r="B53" s="57"/>
    </row>
    <row r="54" spans="1:4" x14ac:dyDescent="0.2">
      <c r="A54" s="31" t="s">
        <v>63</v>
      </c>
      <c r="B54" s="56">
        <v>0</v>
      </c>
      <c r="C54" s="32"/>
      <c r="D54" s="32" t="s">
        <v>64</v>
      </c>
    </row>
    <row r="55" spans="1:4" x14ac:dyDescent="0.2">
      <c r="A55" s="2"/>
      <c r="B55" s="2"/>
      <c r="C55" s="2"/>
      <c r="D55" s="2"/>
    </row>
  </sheetData>
  <conditionalFormatting sqref="B16 B18 B34 B36 B38 B42">
    <cfRule type="cellIs" dxfId="3" priority="1" operator="greaterThan">
      <formula>0</formula>
    </cfRule>
  </conditionalFormatting>
  <dataValidations count="1">
    <dataValidation type="decimal" operator="greaterThanOrEqual" allowBlank="1" showDropDown="1" showInputMessage="1" showErrorMessage="1" prompt="Introduce un número mayor o igual que 0." sqref="B54" xr:uid="{04B39822-6BB4-814A-A151-83819586E0BD}">
      <formula1>0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FEEC4A6A-BB01-2048-A18E-EA47B1E0B005}">
          <x14:formula1>
            <xm:f>'/Users/JMORALESN/Downloads/[Calculadora-Financiera-by-Cooltura-Financiera-Otras.xlsx]Listas'!#REF!</xm:f>
          </x14:formula1>
          <xm:sqref>B7:B8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E595-0CED-B844-B402-C9068F5A4EE6}">
  <dimension ref="A1:W83"/>
  <sheetViews>
    <sheetView topLeftCell="A2" workbookViewId="0">
      <selection activeCell="F5" sqref="F5"/>
    </sheetView>
  </sheetViews>
  <sheetFormatPr baseColWidth="10" defaultRowHeight="16" x14ac:dyDescent="0.2"/>
  <cols>
    <col min="1" max="1" width="10.83203125" style="1"/>
    <col min="2" max="2" width="35" style="1" customWidth="1"/>
    <col min="3" max="3" width="17" style="1" customWidth="1"/>
    <col min="4" max="8" width="10.83203125" style="1"/>
    <col min="9" max="9" width="10.83203125" style="1" customWidth="1"/>
    <col min="10" max="10" width="10.83203125" style="1"/>
    <col min="11" max="11" width="10.83203125" style="1" customWidth="1"/>
    <col min="12" max="16384" width="10.83203125" style="1"/>
  </cols>
  <sheetData>
    <row r="1" spans="1:23" x14ac:dyDescent="0.2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6"/>
      <c r="O1" s="8"/>
      <c r="P1" s="8"/>
      <c r="Q1" s="8"/>
    </row>
    <row r="2" spans="1:23" ht="58" x14ac:dyDescent="0.5">
      <c r="A2" s="6"/>
      <c r="B2" s="54" t="str">
        <f>CONCATENATE("Resultados ", '1) Captura tus ingresos '!B7, " ", '1) Captura tus ingresos '!B6)</f>
        <v>Resultados Enero 2023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6"/>
      <c r="O2" s="8"/>
      <c r="P2" s="8"/>
      <c r="Q2" s="8"/>
    </row>
    <row r="3" spans="1:23" x14ac:dyDescent="0.2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O3" s="8"/>
      <c r="P3" s="8"/>
      <c r="Q3" s="8"/>
    </row>
    <row r="4" spans="1:23" x14ac:dyDescent="0.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6"/>
      <c r="O4" s="8"/>
      <c r="P4" s="8"/>
      <c r="Q4" s="8"/>
    </row>
    <row r="5" spans="1:23" ht="31" x14ac:dyDescent="0.35">
      <c r="A5" s="6"/>
      <c r="B5" s="9" t="s">
        <v>76</v>
      </c>
      <c r="C5" s="7"/>
      <c r="D5" s="7"/>
      <c r="E5" s="7"/>
      <c r="F5" s="60" t="str">
        <f>IF(N26&lt;=0,IF(N18&lt;=0,"Sin datos",0),ROUND(MAX(0,MIN(100,P33,P38)),1))</f>
        <v>Sin datos</v>
      </c>
      <c r="G5" s="7"/>
      <c r="H5" s="7"/>
      <c r="I5" s="7"/>
      <c r="J5" s="7"/>
      <c r="K5" s="7"/>
      <c r="L5" s="7"/>
      <c r="M5" s="7"/>
      <c r="N5" s="6"/>
      <c r="O5" s="8"/>
      <c r="P5" s="8"/>
      <c r="Q5" s="8"/>
    </row>
    <row r="6" spans="1:23" ht="19" x14ac:dyDescent="0.25">
      <c r="A6" s="6"/>
      <c r="B6" s="10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/>
      <c r="O6" s="8"/>
      <c r="P6" s="8"/>
      <c r="Q6" s="8"/>
    </row>
    <row r="7" spans="1:23" ht="19" x14ac:dyDescent="0.2">
      <c r="A7" s="11"/>
      <c r="B7" s="12" t="s">
        <v>77</v>
      </c>
      <c r="C7" s="7"/>
      <c r="D7" s="7"/>
      <c r="E7" s="7"/>
      <c r="F7" s="7"/>
      <c r="G7" s="7"/>
      <c r="H7" s="7"/>
      <c r="I7" s="7"/>
      <c r="J7" s="7"/>
      <c r="K7" s="13"/>
      <c r="L7" s="13"/>
      <c r="M7" s="13"/>
      <c r="N7" s="11"/>
      <c r="O7" s="14"/>
      <c r="P7" s="14"/>
      <c r="Q7" s="14"/>
    </row>
    <row r="8" spans="1:23" ht="19" x14ac:dyDescent="0.25">
      <c r="A8" s="11"/>
      <c r="B8" s="10"/>
      <c r="C8" s="7"/>
      <c r="D8" s="13"/>
      <c r="E8" s="13"/>
      <c r="F8" s="13"/>
      <c r="G8" s="13"/>
      <c r="H8" s="13"/>
      <c r="I8" s="7"/>
      <c r="J8" s="7"/>
      <c r="K8" s="13"/>
      <c r="L8" s="13"/>
      <c r="M8" s="13"/>
      <c r="N8" s="11"/>
      <c r="O8" s="14"/>
      <c r="P8" s="14"/>
      <c r="Q8" s="14"/>
    </row>
    <row r="9" spans="1:23" ht="19" x14ac:dyDescent="0.2">
      <c r="A9" s="11"/>
      <c r="B9" s="12" t="str">
        <f>IF(ISNUMBER(F5),IF(P31&lt;0,P43,IF(F5&gt;=85,P41,IF(P32&lt;10%,"Puedes fortalecer tu ahorro e inversión. La calificación combina margen, ahorro y gastos ajustables.",P42))),"Captura tus ingresos y gastos para calcular el indicador.")</f>
        <v>Captura tus ingresos y gastos para calcular el indicador.</v>
      </c>
      <c r="C9" s="7"/>
      <c r="D9" s="13"/>
      <c r="E9" s="13"/>
      <c r="F9" s="13"/>
      <c r="G9" s="13"/>
      <c r="H9" s="13"/>
      <c r="I9" s="7"/>
      <c r="J9" s="7"/>
      <c r="K9" s="13"/>
      <c r="L9" s="13"/>
      <c r="M9" s="23"/>
      <c r="N9" s="23"/>
      <c r="O9" s="23"/>
      <c r="P9" s="23"/>
      <c r="Q9" s="23"/>
    </row>
    <row r="10" spans="1:23" x14ac:dyDescent="0.2">
      <c r="A10" s="6"/>
      <c r="B10" s="7"/>
      <c r="C10" s="7"/>
      <c r="D10" s="7"/>
      <c r="E10" s="7"/>
      <c r="F10" s="7"/>
      <c r="G10" s="7"/>
      <c r="H10" s="7"/>
      <c r="I10" s="7"/>
      <c r="J10" s="7"/>
      <c r="K10" s="26"/>
      <c r="L10" s="26"/>
      <c r="M10" s="26"/>
      <c r="N10" s="39"/>
      <c r="O10" s="39"/>
      <c r="P10" s="38"/>
      <c r="Q10" s="38"/>
      <c r="R10" s="38"/>
      <c r="S10" s="38"/>
      <c r="T10" s="38"/>
      <c r="U10" s="38"/>
      <c r="V10" s="38"/>
    </row>
    <row r="11" spans="1:23" x14ac:dyDescent="0.2">
      <c r="A11" s="6"/>
      <c r="B11" s="7"/>
      <c r="C11" s="7"/>
      <c r="D11" s="7"/>
      <c r="E11" s="7"/>
      <c r="F11" s="7"/>
      <c r="G11" s="7"/>
      <c r="H11" s="7"/>
      <c r="I11" s="7"/>
      <c r="J11" s="7"/>
      <c r="K11" s="26"/>
      <c r="L11" s="26"/>
      <c r="M11" s="26"/>
      <c r="N11" s="39"/>
      <c r="O11" s="39"/>
      <c r="P11" s="38"/>
      <c r="Q11" s="38"/>
      <c r="R11" s="38"/>
      <c r="S11" s="38"/>
      <c r="T11" s="38"/>
      <c r="U11" s="38"/>
      <c r="V11" s="38"/>
    </row>
    <row r="12" spans="1:23" ht="31" x14ac:dyDescent="0.35">
      <c r="A12" s="6"/>
      <c r="B12" s="9" t="s">
        <v>79</v>
      </c>
      <c r="C12" s="7"/>
      <c r="D12" s="7"/>
      <c r="E12" s="7"/>
      <c r="F12" s="7"/>
      <c r="G12" s="7"/>
      <c r="H12" s="7"/>
      <c r="I12" s="7"/>
      <c r="J12" s="7"/>
      <c r="K12" s="26"/>
      <c r="L12" s="26"/>
      <c r="M12" s="26"/>
      <c r="N12" s="39"/>
      <c r="O12" s="39"/>
      <c r="P12" s="39"/>
      <c r="Q12" s="39"/>
      <c r="R12" s="38"/>
      <c r="S12" s="38"/>
      <c r="T12" s="38"/>
      <c r="U12" s="38"/>
      <c r="V12" s="38"/>
    </row>
    <row r="13" spans="1:23" x14ac:dyDescent="0.2">
      <c r="A13" s="6"/>
      <c r="B13" s="7"/>
      <c r="C13" s="7"/>
      <c r="D13" s="7"/>
      <c r="E13" s="7"/>
      <c r="F13" s="7"/>
      <c r="G13" s="7"/>
      <c r="H13" s="7"/>
      <c r="I13" s="7"/>
      <c r="J13" s="7"/>
      <c r="K13" s="26"/>
      <c r="L13" s="26"/>
      <c r="M13" s="26"/>
      <c r="N13" s="39"/>
      <c r="O13" s="39"/>
      <c r="P13" s="39"/>
      <c r="Q13" s="39"/>
      <c r="R13" s="38"/>
      <c r="S13" s="38"/>
      <c r="T13" s="38"/>
      <c r="U13" s="38"/>
      <c r="V13" s="38"/>
    </row>
    <row r="14" spans="1:23" ht="29" x14ac:dyDescent="0.35">
      <c r="A14" s="6"/>
      <c r="B14" s="27" t="s">
        <v>91</v>
      </c>
      <c r="C14" s="28">
        <f>N26</f>
        <v>0</v>
      </c>
      <c r="D14" s="26"/>
      <c r="E14" s="26"/>
      <c r="F14" s="26"/>
      <c r="G14" s="64" t="s">
        <v>96</v>
      </c>
      <c r="H14" s="64"/>
      <c r="I14" s="64"/>
      <c r="J14" s="64"/>
      <c r="K14" s="65">
        <f>N18</f>
        <v>0</v>
      </c>
      <c r="L14" s="65"/>
      <c r="M14" s="65"/>
      <c r="N14" s="65"/>
      <c r="O14" s="39"/>
      <c r="P14" s="39"/>
      <c r="Q14" s="39"/>
      <c r="R14" s="38"/>
      <c r="S14" s="38"/>
      <c r="T14" s="38"/>
      <c r="U14" s="38"/>
      <c r="V14" s="38"/>
    </row>
    <row r="15" spans="1:23" x14ac:dyDescent="0.2">
      <c r="A15" s="6"/>
      <c r="B15" s="7"/>
      <c r="C15" s="7"/>
      <c r="D15" s="7"/>
      <c r="E15" s="7"/>
      <c r="F15" s="7"/>
      <c r="G15" s="7"/>
      <c r="H15" s="7"/>
      <c r="I15" s="7"/>
      <c r="J15" s="7"/>
      <c r="K15" s="26"/>
      <c r="L15" s="26"/>
      <c r="M15" s="40"/>
      <c r="N15" s="8"/>
      <c r="O15" s="8"/>
      <c r="P15" s="41"/>
      <c r="Q15" s="8"/>
      <c r="R15" s="25"/>
      <c r="S15" s="25"/>
      <c r="T15" s="25"/>
      <c r="U15" s="25"/>
      <c r="V15" s="25"/>
      <c r="W15" s="25"/>
    </row>
    <row r="16" spans="1:23" x14ac:dyDescent="0.2">
      <c r="A16" s="6"/>
      <c r="B16" s="7"/>
      <c r="C16" s="7"/>
      <c r="D16" s="7"/>
      <c r="E16" s="7"/>
      <c r="F16" s="7"/>
      <c r="G16" s="7"/>
      <c r="H16" s="7"/>
      <c r="I16" s="7"/>
      <c r="J16" s="7"/>
      <c r="K16" s="26"/>
      <c r="L16" s="26"/>
      <c r="M16" s="40"/>
      <c r="N16" s="8"/>
      <c r="O16" s="42"/>
      <c r="P16" s="43"/>
      <c r="Q16" s="8"/>
      <c r="R16" s="25"/>
      <c r="S16" s="25"/>
      <c r="T16" s="25"/>
      <c r="U16" s="25"/>
      <c r="V16" s="25"/>
      <c r="W16" s="25"/>
    </row>
    <row r="17" spans="1:23" x14ac:dyDescent="0.2">
      <c r="A17" s="6"/>
      <c r="B17" s="7"/>
      <c r="C17" s="7"/>
      <c r="D17" s="7"/>
      <c r="E17" s="7"/>
      <c r="F17" s="7"/>
      <c r="G17" s="7"/>
      <c r="H17" s="7"/>
      <c r="I17" s="7"/>
      <c r="J17" s="7"/>
      <c r="K17" s="26"/>
      <c r="L17" s="26"/>
      <c r="M17" s="40"/>
      <c r="N17" s="63" t="s">
        <v>17</v>
      </c>
      <c r="O17" s="63"/>
      <c r="P17" s="25"/>
      <c r="Q17" s="8"/>
      <c r="R17" s="25"/>
      <c r="S17" s="25"/>
      <c r="T17" s="25"/>
      <c r="U17" s="25"/>
      <c r="V17" s="25"/>
      <c r="W17" s="25"/>
    </row>
    <row r="18" spans="1:23" x14ac:dyDescent="0.2">
      <c r="A18" s="6"/>
      <c r="B18" s="7"/>
      <c r="C18" s="7"/>
      <c r="D18" s="7"/>
      <c r="E18" s="7"/>
      <c r="F18" s="7"/>
      <c r="G18" s="7"/>
      <c r="H18" s="7"/>
      <c r="I18" s="7"/>
      <c r="J18" s="7"/>
      <c r="K18" s="26"/>
      <c r="L18" s="26"/>
      <c r="M18" s="40"/>
      <c r="N18" s="22">
        <f>SUM(C40:C62)</f>
        <v>0</v>
      </c>
      <c r="O18" s="21">
        <f>IF(N18&gt;0,1,0)</f>
        <v>0</v>
      </c>
      <c r="P18" s="8" t="s">
        <v>93</v>
      </c>
      <c r="Q18" s="8"/>
      <c r="R18" s="25"/>
      <c r="S18" s="25"/>
      <c r="T18" s="25"/>
      <c r="U18" s="25"/>
      <c r="V18" s="25"/>
      <c r="W18" s="25"/>
    </row>
    <row r="19" spans="1:23" x14ac:dyDescent="0.2">
      <c r="A19" s="6"/>
      <c r="B19" s="7"/>
      <c r="C19" s="7"/>
      <c r="D19" s="7"/>
      <c r="E19" s="7"/>
      <c r="F19" s="7"/>
      <c r="G19" s="7"/>
      <c r="H19" s="7"/>
      <c r="I19" s="7"/>
      <c r="J19" s="7"/>
      <c r="K19" s="26"/>
      <c r="L19" s="26"/>
      <c r="M19" s="40"/>
      <c r="N19" s="22">
        <f>SUM(C40:C48)</f>
        <v>0</v>
      </c>
      <c r="O19" s="21">
        <f>IF(N18&gt;0,N19/N18,0)</f>
        <v>0</v>
      </c>
      <c r="P19" s="8" t="s">
        <v>94</v>
      </c>
      <c r="Q19" s="8"/>
      <c r="R19" s="25"/>
      <c r="S19" s="25"/>
      <c r="T19" s="25"/>
      <c r="U19" s="25"/>
      <c r="V19" s="25"/>
      <c r="W19" s="25"/>
    </row>
    <row r="20" spans="1:23" x14ac:dyDescent="0.2">
      <c r="A20" s="6"/>
      <c r="B20" s="7"/>
      <c r="C20" s="7"/>
      <c r="D20" s="7"/>
      <c r="E20" s="7"/>
      <c r="F20" s="7"/>
      <c r="G20" s="7"/>
      <c r="H20" s="7"/>
      <c r="I20" s="7"/>
      <c r="J20" s="7"/>
      <c r="K20" s="26"/>
      <c r="L20" s="26"/>
      <c r="M20" s="40"/>
      <c r="N20" s="22">
        <f>SUM(C49:C53)</f>
        <v>0</v>
      </c>
      <c r="O20" s="21">
        <f>IF(N18&gt;0,N20/N18,0)</f>
        <v>0</v>
      </c>
      <c r="P20" s="8" t="s">
        <v>95</v>
      </c>
      <c r="Q20" s="8"/>
      <c r="R20" s="25"/>
      <c r="S20" s="25"/>
      <c r="T20" s="25"/>
      <c r="U20" s="25"/>
      <c r="V20" s="25"/>
      <c r="W20" s="25"/>
    </row>
    <row r="21" spans="1:23" x14ac:dyDescent="0.2">
      <c r="A21" s="6"/>
      <c r="B21" s="7"/>
      <c r="C21" s="7"/>
      <c r="D21" s="7"/>
      <c r="E21" s="7"/>
      <c r="F21" s="7"/>
      <c r="G21" s="7"/>
      <c r="H21" s="7"/>
      <c r="I21" s="7"/>
      <c r="J21" s="7"/>
      <c r="K21" s="26"/>
      <c r="L21" s="26"/>
      <c r="M21" s="40"/>
      <c r="N21" s="22">
        <f>SUM(C54:C56)</f>
        <v>0</v>
      </c>
      <c r="O21" s="21">
        <f>IF(N18&gt;0,N21/N18,0)</f>
        <v>0</v>
      </c>
      <c r="P21" s="8" t="s">
        <v>81</v>
      </c>
      <c r="Q21" s="8"/>
      <c r="R21" s="25"/>
      <c r="S21" s="25"/>
      <c r="T21" s="25"/>
      <c r="U21" s="25"/>
      <c r="V21" s="25"/>
      <c r="W21" s="25"/>
    </row>
    <row r="22" spans="1:23" x14ac:dyDescent="0.2">
      <c r="A22" s="6"/>
      <c r="B22" s="7"/>
      <c r="C22" s="7"/>
      <c r="D22" s="7"/>
      <c r="E22" s="7"/>
      <c r="F22" s="7"/>
      <c r="G22" s="7"/>
      <c r="H22" s="7"/>
      <c r="I22" s="7"/>
      <c r="J22" s="7"/>
      <c r="K22" s="26"/>
      <c r="L22" s="26"/>
      <c r="M22" s="40"/>
      <c r="N22" s="22">
        <f>SUM(C57:C61)</f>
        <v>0</v>
      </c>
      <c r="O22" s="21">
        <f>IF(N18&gt;0,N22/N18,0)</f>
        <v>0</v>
      </c>
      <c r="P22" s="8" t="s">
        <v>82</v>
      </c>
      <c r="Q22" s="8"/>
      <c r="R22" s="25"/>
      <c r="S22" s="25"/>
      <c r="T22" s="25"/>
      <c r="U22" s="25"/>
      <c r="V22" s="25"/>
      <c r="W22" s="25"/>
    </row>
    <row r="23" spans="1:23" x14ac:dyDescent="0.2">
      <c r="A23" s="6"/>
      <c r="B23" s="7"/>
      <c r="C23" s="7"/>
      <c r="D23" s="7"/>
      <c r="E23" s="7"/>
      <c r="F23" s="7"/>
      <c r="G23" s="7"/>
      <c r="H23" s="7"/>
      <c r="I23" s="7"/>
      <c r="J23" s="7"/>
      <c r="K23" s="26"/>
      <c r="L23" s="26"/>
      <c r="M23" s="40"/>
      <c r="N23" s="22">
        <f>SUM(C62)</f>
        <v>0</v>
      </c>
      <c r="O23" s="21">
        <f>IF(N18&gt;0,N23/N18,0)</f>
        <v>0</v>
      </c>
      <c r="P23" s="8" t="s">
        <v>83</v>
      </c>
      <c r="Q23" s="8"/>
      <c r="R23" s="25"/>
      <c r="S23" s="25"/>
      <c r="T23" s="25"/>
      <c r="U23" s="25"/>
      <c r="V23" s="25"/>
      <c r="W23" s="25"/>
    </row>
    <row r="24" spans="1:23" x14ac:dyDescent="0.2">
      <c r="A24" s="6"/>
      <c r="B24" s="7"/>
      <c r="C24" s="7"/>
      <c r="D24" s="7"/>
      <c r="E24" s="7"/>
      <c r="F24" s="7"/>
      <c r="G24" s="7"/>
      <c r="H24" s="7"/>
      <c r="I24" s="7"/>
      <c r="J24" s="7"/>
      <c r="K24" s="26"/>
      <c r="L24" s="26"/>
      <c r="M24" s="40"/>
      <c r="N24" s="25"/>
      <c r="O24" s="25"/>
      <c r="P24" s="25"/>
      <c r="Q24" s="8"/>
      <c r="R24" s="25"/>
      <c r="S24" s="25"/>
      <c r="T24" s="25"/>
      <c r="U24" s="25"/>
      <c r="V24" s="25"/>
      <c r="W24" s="25"/>
    </row>
    <row r="25" spans="1:23" x14ac:dyDescent="0.2">
      <c r="A25" s="6"/>
      <c r="B25" s="7"/>
      <c r="C25" s="7"/>
      <c r="D25" s="7"/>
      <c r="E25" s="7"/>
      <c r="F25" s="7"/>
      <c r="G25" s="7"/>
      <c r="H25" s="7"/>
      <c r="I25" s="7"/>
      <c r="J25" s="7"/>
      <c r="K25" s="26"/>
      <c r="L25" s="26"/>
      <c r="M25" s="40"/>
      <c r="N25" s="63" t="s">
        <v>16</v>
      </c>
      <c r="O25" s="63"/>
      <c r="P25" s="8" t="s">
        <v>92</v>
      </c>
      <c r="Q25" s="15"/>
      <c r="R25" s="25"/>
      <c r="S25" s="25"/>
      <c r="T25" s="25"/>
      <c r="U25" s="25"/>
      <c r="V25" s="25"/>
      <c r="W25" s="25"/>
    </row>
    <row r="26" spans="1:23" x14ac:dyDescent="0.2">
      <c r="A26" s="6"/>
      <c r="B26" s="7"/>
      <c r="C26" s="7"/>
      <c r="D26" s="7"/>
      <c r="E26" s="7"/>
      <c r="F26" s="7"/>
      <c r="G26" s="7"/>
      <c r="H26" s="7"/>
      <c r="I26" s="7"/>
      <c r="J26" s="7"/>
      <c r="K26" s="26"/>
      <c r="L26" s="26"/>
      <c r="M26" s="40"/>
      <c r="N26" s="22">
        <f>SUM('1) Captura tus ingresos '!B9:B19)</f>
        <v>0</v>
      </c>
      <c r="O26" s="21">
        <f>IF(N26&gt;0,1,0)</f>
        <v>0</v>
      </c>
      <c r="P26" s="8" t="s">
        <v>90</v>
      </c>
      <c r="Q26" s="8"/>
      <c r="R26" s="25"/>
      <c r="S26" s="25"/>
      <c r="T26" s="25"/>
      <c r="U26" s="25"/>
      <c r="V26" s="25"/>
      <c r="W26" s="25"/>
    </row>
    <row r="27" spans="1:23" x14ac:dyDescent="0.2">
      <c r="A27" s="6"/>
      <c r="B27" s="7"/>
      <c r="C27" s="7"/>
      <c r="D27" s="7"/>
      <c r="E27" s="7"/>
      <c r="F27" s="7"/>
      <c r="G27" s="7"/>
      <c r="H27" s="7"/>
      <c r="I27" s="7"/>
      <c r="J27" s="7"/>
      <c r="K27" s="26"/>
      <c r="L27" s="26"/>
      <c r="M27" s="40"/>
      <c r="N27" s="8">
        <f>'1) Captura tus ingresos '!B9</f>
        <v>0</v>
      </c>
      <c r="O27" s="21">
        <f>IF(N26&gt;0,N27/N26,0)</f>
        <v>0</v>
      </c>
      <c r="P27" s="8" t="s">
        <v>84</v>
      </c>
      <c r="Q27" s="8"/>
      <c r="R27" s="25"/>
      <c r="S27" s="25"/>
      <c r="T27" s="25"/>
      <c r="U27" s="25"/>
      <c r="V27" s="25"/>
      <c r="W27" s="25"/>
    </row>
    <row r="28" spans="1:23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26"/>
      <c r="L28" s="26"/>
      <c r="M28" s="40"/>
      <c r="N28" s="8">
        <f>SUM('1) Captura tus ingresos '!B11:B15)</f>
        <v>0</v>
      </c>
      <c r="O28" s="21">
        <f>IF(N26&gt;0,N28/N26,0)</f>
        <v>0</v>
      </c>
      <c r="P28" s="8" t="s">
        <v>85</v>
      </c>
      <c r="Q28" s="8"/>
      <c r="R28" s="25"/>
      <c r="S28" s="25"/>
      <c r="T28" s="25"/>
      <c r="U28" s="25"/>
      <c r="V28" s="25"/>
      <c r="W28" s="25"/>
    </row>
    <row r="29" spans="1:23" x14ac:dyDescent="0.2">
      <c r="A29" s="6"/>
      <c r="B29" s="7"/>
      <c r="C29" s="7"/>
      <c r="D29" s="7"/>
      <c r="E29" s="7"/>
      <c r="F29" s="7"/>
      <c r="G29" s="7"/>
      <c r="H29" s="7"/>
      <c r="I29" s="7"/>
      <c r="J29" s="7"/>
      <c r="K29" s="26"/>
      <c r="L29" s="26"/>
      <c r="M29" s="40"/>
      <c r="N29" s="8">
        <f>SUM('1) Captura tus ingresos '!B17:B19)</f>
        <v>0</v>
      </c>
      <c r="O29" s="21">
        <f>IF(N26&gt;0,N29/N26,0)</f>
        <v>0</v>
      </c>
      <c r="P29" s="8" t="s">
        <v>86</v>
      </c>
      <c r="Q29" s="8"/>
      <c r="R29" s="25"/>
      <c r="S29" s="25"/>
      <c r="T29" s="25"/>
      <c r="U29" s="25"/>
      <c r="V29" s="25"/>
      <c r="W29" s="25"/>
    </row>
    <row r="30" spans="1:23" x14ac:dyDescent="0.2">
      <c r="A30" s="6"/>
      <c r="B30" s="7"/>
      <c r="C30" s="7"/>
      <c r="D30" s="7"/>
      <c r="E30" s="7"/>
      <c r="F30" s="7"/>
      <c r="G30" s="7"/>
      <c r="H30" s="7"/>
      <c r="I30" s="7"/>
      <c r="J30" s="7"/>
      <c r="K30" s="26"/>
      <c r="L30" s="26"/>
      <c r="M30" s="40"/>
      <c r="N30" s="8"/>
      <c r="O30" s="8"/>
      <c r="P30" s="8"/>
      <c r="Q30" s="8"/>
      <c r="R30" s="25"/>
      <c r="S30" s="25"/>
      <c r="T30" s="25"/>
      <c r="U30" s="25"/>
      <c r="V30" s="25"/>
      <c r="W30" s="25"/>
    </row>
    <row r="31" spans="1:23" x14ac:dyDescent="0.2">
      <c r="A31" s="6"/>
      <c r="B31" s="7"/>
      <c r="C31" s="7"/>
      <c r="D31" s="7"/>
      <c r="E31" s="7"/>
      <c r="F31" s="7"/>
      <c r="G31" s="7"/>
      <c r="H31" s="7"/>
      <c r="I31" s="7"/>
      <c r="J31" s="7"/>
      <c r="K31" s="26"/>
      <c r="L31" s="26"/>
      <c r="M31" s="40"/>
      <c r="N31" s="8"/>
      <c r="O31" s="8" t="s">
        <v>113</v>
      </c>
      <c r="P31" s="16">
        <f>N26-N18</f>
        <v>0</v>
      </c>
      <c r="Q31" s="8"/>
      <c r="R31" s="25"/>
      <c r="S31" s="25"/>
      <c r="T31" s="25"/>
      <c r="U31" s="25"/>
      <c r="V31" s="25"/>
      <c r="W31" s="25"/>
    </row>
    <row r="32" spans="1:23" x14ac:dyDescent="0.2">
      <c r="A32" s="6"/>
      <c r="B32" s="7"/>
      <c r="C32" s="7"/>
      <c r="D32" s="7"/>
      <c r="E32" s="7"/>
      <c r="F32" s="7"/>
      <c r="G32" s="7"/>
      <c r="H32" s="7"/>
      <c r="I32" s="7"/>
      <c r="J32" s="7"/>
      <c r="K32" s="26"/>
      <c r="L32" s="26"/>
      <c r="M32" s="40"/>
      <c r="N32" s="8"/>
      <c r="O32" s="8" t="s">
        <v>114</v>
      </c>
      <c r="P32" s="17">
        <f>IF(N26&gt;0,C53/N26,0)</f>
        <v>0</v>
      </c>
      <c r="Q32" s="8"/>
      <c r="R32" s="25"/>
      <c r="S32" s="25"/>
      <c r="T32" s="25"/>
      <c r="U32" s="25"/>
      <c r="V32" s="25"/>
      <c r="W32" s="25"/>
    </row>
    <row r="33" spans="1:21" x14ac:dyDescent="0.2">
      <c r="A33" s="6"/>
      <c r="B33" s="7"/>
      <c r="C33" s="7"/>
      <c r="D33" s="7"/>
      <c r="E33" s="7"/>
      <c r="F33" s="7"/>
      <c r="G33" s="7"/>
      <c r="H33" s="7"/>
      <c r="I33" s="7"/>
      <c r="J33" s="7"/>
      <c r="K33" s="26"/>
      <c r="L33" s="26"/>
      <c r="M33" s="40"/>
      <c r="N33" s="8"/>
      <c r="O33" s="15" t="s">
        <v>115</v>
      </c>
      <c r="P33" s="18">
        <f>SUM(P34:P35,P37)</f>
        <v>0</v>
      </c>
      <c r="Q33" s="8"/>
      <c r="R33" s="25"/>
      <c r="S33" s="25"/>
      <c r="T33" s="25"/>
      <c r="U33" s="25"/>
    </row>
    <row r="34" spans="1:21" x14ac:dyDescent="0.2">
      <c r="A34" s="6"/>
      <c r="B34" s="7"/>
      <c r="C34" s="7"/>
      <c r="D34" s="7"/>
      <c r="E34" s="7"/>
      <c r="F34" s="7"/>
      <c r="G34" s="7"/>
      <c r="H34" s="7"/>
      <c r="I34" s="7"/>
      <c r="J34" s="7"/>
      <c r="K34" s="26"/>
      <c r="L34" s="26"/>
      <c r="M34" s="40"/>
      <c r="N34" s="8"/>
      <c r="O34" s="15" t="s">
        <v>116</v>
      </c>
      <c r="P34" s="18">
        <f>IF(N26&gt;0,MAX(0,MIN(40,40-20*(N18-C53)/N26)),0)</f>
        <v>0</v>
      </c>
      <c r="Q34" s="8"/>
      <c r="R34" s="25"/>
      <c r="S34" s="25"/>
      <c r="T34" s="25"/>
      <c r="U34" s="25"/>
    </row>
    <row r="35" spans="1:21" x14ac:dyDescent="0.2">
      <c r="A35" s="6"/>
      <c r="B35" s="7"/>
      <c r="C35" s="7"/>
      <c r="D35" s="7"/>
      <c r="E35" s="7"/>
      <c r="F35" s="7"/>
      <c r="G35" s="7"/>
      <c r="H35" s="7"/>
      <c r="I35" s="7"/>
      <c r="J35" s="7"/>
      <c r="K35" s="26"/>
      <c r="L35" s="26"/>
      <c r="M35" s="40"/>
      <c r="N35" s="8"/>
      <c r="O35" s="15" t="s">
        <v>117</v>
      </c>
      <c r="P35" s="18">
        <f>IF(N26&gt;0,40*MIN(1,MAX(0,P32)/10%),0)</f>
        <v>0</v>
      </c>
      <c r="Q35" s="8"/>
      <c r="R35" s="25"/>
      <c r="S35" s="25"/>
      <c r="T35" s="25"/>
      <c r="U35" s="25"/>
    </row>
    <row r="36" spans="1:21" x14ac:dyDescent="0.2">
      <c r="A36" s="6"/>
      <c r="B36" s="7"/>
      <c r="C36" s="7"/>
      <c r="D36" s="7"/>
      <c r="E36" s="7"/>
      <c r="F36" s="7"/>
      <c r="G36" s="7"/>
      <c r="H36" s="7"/>
      <c r="I36" s="7"/>
      <c r="J36" s="7"/>
      <c r="K36" s="26"/>
      <c r="L36" s="26"/>
      <c r="M36" s="40"/>
      <c r="N36" s="8"/>
      <c r="O36" s="8"/>
      <c r="P36" s="8"/>
      <c r="Q36" s="8"/>
      <c r="R36" s="25"/>
      <c r="S36" s="25"/>
      <c r="T36" s="25"/>
      <c r="U36" s="25"/>
    </row>
    <row r="37" spans="1:21" ht="31" x14ac:dyDescent="0.35">
      <c r="A37" s="6"/>
      <c r="B37" s="9" t="s">
        <v>87</v>
      </c>
      <c r="C37" s="7"/>
      <c r="D37" s="7"/>
      <c r="E37" s="7"/>
      <c r="F37" s="7"/>
      <c r="G37" s="7"/>
      <c r="H37" s="7"/>
      <c r="I37" s="7"/>
      <c r="J37" s="7"/>
      <c r="K37" s="26"/>
      <c r="L37" s="26"/>
      <c r="M37" s="40"/>
      <c r="N37" s="8"/>
      <c r="O37" s="15" t="s">
        <v>118</v>
      </c>
      <c r="P37" s="18">
        <f>IF(N26&gt;0,MAX(0,MIN(20,20*(1-SUM(N21:N23)/N26))),0)</f>
        <v>0</v>
      </c>
      <c r="Q37" s="8"/>
      <c r="R37" s="25"/>
      <c r="S37" s="25"/>
      <c r="T37" s="25"/>
      <c r="U37" s="25"/>
    </row>
    <row r="38" spans="1:21" x14ac:dyDescent="0.2">
      <c r="A38" s="6"/>
      <c r="B38" s="7"/>
      <c r="C38" s="7"/>
      <c r="D38" s="7"/>
      <c r="E38" s="19"/>
      <c r="F38" s="7"/>
      <c r="G38" s="7"/>
      <c r="H38" s="7"/>
      <c r="I38" s="7"/>
      <c r="J38" s="7"/>
      <c r="K38" s="7"/>
      <c r="L38" s="26"/>
      <c r="M38" s="40"/>
      <c r="N38" s="8"/>
      <c r="O38" s="15" t="s">
        <v>119</v>
      </c>
      <c r="P38" s="18">
        <f>IF(ROUND(P31,2)&lt;0,59,100)</f>
        <v>100</v>
      </c>
      <c r="Q38" s="8"/>
      <c r="R38" s="25"/>
      <c r="S38" s="25"/>
      <c r="T38" s="25"/>
      <c r="U38" s="25"/>
    </row>
    <row r="39" spans="1:21" ht="21" x14ac:dyDescent="0.25">
      <c r="A39" s="6"/>
      <c r="B39" s="29" t="s">
        <v>88</v>
      </c>
      <c r="C39" s="29" t="s">
        <v>80</v>
      </c>
      <c r="D39" s="67" t="s">
        <v>97</v>
      </c>
      <c r="E39" s="68"/>
      <c r="F39" s="68"/>
      <c r="G39" s="68"/>
      <c r="H39" s="68"/>
      <c r="I39" s="68"/>
      <c r="J39" s="68"/>
      <c r="K39" s="69"/>
      <c r="L39" s="26"/>
      <c r="M39" s="40"/>
      <c r="N39" s="8"/>
      <c r="O39" s="8"/>
      <c r="P39" s="8"/>
      <c r="Q39" s="8"/>
      <c r="R39" s="25"/>
      <c r="S39" s="25"/>
      <c r="T39" s="25"/>
      <c r="U39" s="25"/>
    </row>
    <row r="40" spans="1:21" x14ac:dyDescent="0.2">
      <c r="A40" s="6">
        <v>1</v>
      </c>
      <c r="B40" s="44" t="s">
        <v>19</v>
      </c>
      <c r="C40" s="45">
        <f>'2) Captura tus gastos'!B10</f>
        <v>0</v>
      </c>
      <c r="D40" s="70" t="s">
        <v>94</v>
      </c>
      <c r="E40" s="70"/>
      <c r="F40" s="70"/>
      <c r="G40" s="70"/>
      <c r="H40" s="70"/>
      <c r="I40" s="70"/>
      <c r="J40" s="70"/>
      <c r="K40" s="70"/>
      <c r="L40" s="26"/>
      <c r="M40" s="40"/>
      <c r="N40" s="8"/>
      <c r="O40" s="15" t="s">
        <v>89</v>
      </c>
      <c r="P40" s="8"/>
      <c r="Q40" s="8"/>
      <c r="R40" s="25"/>
      <c r="S40" s="25"/>
      <c r="T40" s="25"/>
      <c r="U40" s="25"/>
    </row>
    <row r="41" spans="1:21" x14ac:dyDescent="0.2">
      <c r="A41" s="6">
        <v>1</v>
      </c>
      <c r="B41" s="44" t="s">
        <v>21</v>
      </c>
      <c r="C41" s="45">
        <f>'2) Captura tus gastos'!B12</f>
        <v>0</v>
      </c>
      <c r="D41" s="70" t="s">
        <v>94</v>
      </c>
      <c r="E41" s="70"/>
      <c r="F41" s="70"/>
      <c r="G41" s="70"/>
      <c r="H41" s="70"/>
      <c r="I41" s="70"/>
      <c r="J41" s="70"/>
      <c r="K41" s="70"/>
      <c r="L41" s="26"/>
      <c r="M41" s="40"/>
      <c r="N41" s="8"/>
      <c r="O41" s="8">
        <v>1</v>
      </c>
      <c r="P41" s="8" t="s">
        <v>78</v>
      </c>
      <c r="Q41" s="8"/>
      <c r="R41" s="25"/>
      <c r="S41" s="25"/>
      <c r="T41" s="25"/>
      <c r="U41" s="25"/>
    </row>
    <row r="42" spans="1:21" x14ac:dyDescent="0.2">
      <c r="A42" s="6">
        <v>1</v>
      </c>
      <c r="B42" s="44" t="s">
        <v>23</v>
      </c>
      <c r="C42" s="45">
        <f>'2) Captura tus gastos'!B14</f>
        <v>0</v>
      </c>
      <c r="D42" s="70" t="s">
        <v>94</v>
      </c>
      <c r="E42" s="70"/>
      <c r="F42" s="70"/>
      <c r="G42" s="70"/>
      <c r="H42" s="70"/>
      <c r="I42" s="70"/>
      <c r="J42" s="70"/>
      <c r="K42" s="70"/>
      <c r="L42" s="26"/>
      <c r="M42" s="40"/>
      <c r="N42" s="8"/>
      <c r="O42" s="8">
        <v>2</v>
      </c>
      <c r="P42" s="8" t="s">
        <v>112</v>
      </c>
      <c r="Q42" s="8"/>
      <c r="R42" s="25"/>
      <c r="S42" s="25"/>
      <c r="T42" s="25"/>
      <c r="U42" s="25"/>
    </row>
    <row r="43" spans="1:21" x14ac:dyDescent="0.2">
      <c r="A43" s="6">
        <v>1</v>
      </c>
      <c r="B43" s="44" t="s">
        <v>35</v>
      </c>
      <c r="C43" s="45">
        <f>'2) Captura tus gastos'!B26</f>
        <v>0</v>
      </c>
      <c r="D43" s="70" t="s">
        <v>94</v>
      </c>
      <c r="E43" s="70"/>
      <c r="F43" s="70"/>
      <c r="G43" s="70"/>
      <c r="H43" s="70"/>
      <c r="I43" s="70"/>
      <c r="J43" s="70"/>
      <c r="K43" s="70"/>
      <c r="L43" s="26"/>
      <c r="M43" s="40"/>
      <c r="N43" s="8"/>
      <c r="O43" s="8">
        <v>3</v>
      </c>
      <c r="P43" s="37" t="s">
        <v>120</v>
      </c>
      <c r="Q43" s="8"/>
      <c r="R43" s="25"/>
      <c r="S43" s="25"/>
      <c r="T43" s="25"/>
      <c r="U43" s="25"/>
    </row>
    <row r="44" spans="1:21" x14ac:dyDescent="0.2">
      <c r="A44" s="6">
        <v>1</v>
      </c>
      <c r="B44" s="44" t="s">
        <v>37</v>
      </c>
      <c r="C44" s="45">
        <f>'2) Captura tus gastos'!B28</f>
        <v>0</v>
      </c>
      <c r="D44" s="70" t="s">
        <v>94</v>
      </c>
      <c r="E44" s="70"/>
      <c r="F44" s="70"/>
      <c r="G44" s="70"/>
      <c r="H44" s="70"/>
      <c r="I44" s="70"/>
      <c r="J44" s="70"/>
      <c r="K44" s="70"/>
      <c r="L44" s="26"/>
      <c r="M44" s="26"/>
      <c r="N44" s="8"/>
      <c r="O44" s="8"/>
      <c r="P44" s="8"/>
      <c r="Q44" s="8"/>
      <c r="R44" s="25"/>
      <c r="S44" s="25"/>
      <c r="T44" s="25"/>
      <c r="U44" s="25"/>
    </row>
    <row r="45" spans="1:21" x14ac:dyDescent="0.2">
      <c r="A45" s="6">
        <v>1</v>
      </c>
      <c r="B45" s="44" t="s">
        <v>39</v>
      </c>
      <c r="C45" s="45">
        <f>'2) Captura tus gastos'!B30</f>
        <v>0</v>
      </c>
      <c r="D45" s="70" t="s">
        <v>94</v>
      </c>
      <c r="E45" s="70"/>
      <c r="F45" s="70"/>
      <c r="G45" s="70"/>
      <c r="H45" s="70"/>
      <c r="I45" s="70"/>
      <c r="J45" s="70"/>
      <c r="K45" s="70"/>
      <c r="L45" s="26"/>
      <c r="M45" s="26"/>
      <c r="N45" s="8"/>
      <c r="O45" s="8"/>
      <c r="P45" s="8"/>
      <c r="Q45" s="8"/>
      <c r="R45" s="25"/>
      <c r="S45" s="25"/>
      <c r="T45" s="25"/>
      <c r="U45" s="25"/>
    </row>
    <row r="46" spans="1:21" x14ac:dyDescent="0.2">
      <c r="A46" s="6">
        <v>1</v>
      </c>
      <c r="B46" s="44" t="s">
        <v>55</v>
      </c>
      <c r="C46" s="45">
        <f>'2) Captura tus gastos'!B46</f>
        <v>0</v>
      </c>
      <c r="D46" s="70" t="s">
        <v>94</v>
      </c>
      <c r="E46" s="70"/>
      <c r="F46" s="70"/>
      <c r="G46" s="70"/>
      <c r="H46" s="70"/>
      <c r="I46" s="70"/>
      <c r="J46" s="70"/>
      <c r="K46" s="70"/>
      <c r="L46" s="26"/>
      <c r="M46" s="26"/>
      <c r="N46" s="8"/>
      <c r="O46" s="8"/>
      <c r="P46" s="8"/>
      <c r="Q46" s="8"/>
      <c r="R46" s="25"/>
      <c r="S46" s="25"/>
      <c r="T46" s="25"/>
      <c r="U46" s="25"/>
    </row>
    <row r="47" spans="1:21" x14ac:dyDescent="0.2">
      <c r="A47" s="6">
        <v>1</v>
      </c>
      <c r="B47" s="44" t="s">
        <v>57</v>
      </c>
      <c r="C47" s="45">
        <f>'2) Captura tus gastos'!B48</f>
        <v>0</v>
      </c>
      <c r="D47" s="70" t="s">
        <v>94</v>
      </c>
      <c r="E47" s="70"/>
      <c r="F47" s="70"/>
      <c r="G47" s="70"/>
      <c r="H47" s="70"/>
      <c r="I47" s="70"/>
      <c r="J47" s="70"/>
      <c r="K47" s="70"/>
      <c r="L47" s="26"/>
      <c r="M47" s="26"/>
      <c r="N47" s="8"/>
      <c r="O47" s="8"/>
      <c r="P47" s="8"/>
      <c r="Q47" s="8"/>
      <c r="R47" s="25"/>
      <c r="S47" s="25"/>
      <c r="T47" s="25"/>
      <c r="U47" s="25"/>
    </row>
    <row r="48" spans="1:21" x14ac:dyDescent="0.2">
      <c r="A48" s="6">
        <v>1</v>
      </c>
      <c r="B48" s="44" t="s">
        <v>59</v>
      </c>
      <c r="C48" s="45">
        <f>'2) Captura tus gastos'!B50</f>
        <v>0</v>
      </c>
      <c r="D48" s="70" t="s">
        <v>94</v>
      </c>
      <c r="E48" s="70"/>
      <c r="F48" s="70"/>
      <c r="G48" s="70"/>
      <c r="H48" s="70"/>
      <c r="I48" s="70"/>
      <c r="J48" s="70"/>
      <c r="K48" s="70"/>
      <c r="L48" s="26"/>
      <c r="M48" s="26"/>
      <c r="N48" s="24"/>
      <c r="O48" s="24"/>
      <c r="P48" s="24"/>
      <c r="Q48" s="24"/>
    </row>
    <row r="49" spans="1:21" x14ac:dyDescent="0.2">
      <c r="A49" s="6">
        <v>2</v>
      </c>
      <c r="B49" s="50" t="s">
        <v>31</v>
      </c>
      <c r="C49" s="51">
        <f>'2) Captura tus gastos'!B22</f>
        <v>0</v>
      </c>
      <c r="D49" s="72" t="s">
        <v>95</v>
      </c>
      <c r="E49" s="72"/>
      <c r="F49" s="72"/>
      <c r="G49" s="72"/>
      <c r="H49" s="72"/>
      <c r="I49" s="72"/>
      <c r="J49" s="72"/>
      <c r="K49" s="72"/>
      <c r="L49" s="26"/>
      <c r="M49" s="26"/>
      <c r="N49" s="24"/>
      <c r="O49" s="24"/>
      <c r="P49" s="24"/>
      <c r="Q49" s="24"/>
    </row>
    <row r="50" spans="1:21" x14ac:dyDescent="0.2">
      <c r="A50" s="6">
        <v>2</v>
      </c>
      <c r="B50" s="50" t="s">
        <v>41</v>
      </c>
      <c r="C50" s="51">
        <f>'2) Captura tus gastos'!B32</f>
        <v>0</v>
      </c>
      <c r="D50" s="72" t="s">
        <v>95</v>
      </c>
      <c r="E50" s="72"/>
      <c r="F50" s="72"/>
      <c r="G50" s="72"/>
      <c r="H50" s="72"/>
      <c r="I50" s="72"/>
      <c r="J50" s="72"/>
      <c r="K50" s="72"/>
      <c r="L50" s="26"/>
      <c r="M50" s="26"/>
      <c r="N50" s="39"/>
      <c r="O50" s="39"/>
      <c r="P50" s="39"/>
      <c r="Q50" s="39"/>
      <c r="R50" s="38"/>
      <c r="S50" s="38"/>
      <c r="T50" s="38"/>
      <c r="U50" s="38"/>
    </row>
    <row r="51" spans="1:21" x14ac:dyDescent="0.2">
      <c r="A51" s="6">
        <v>2</v>
      </c>
      <c r="B51" s="50" t="s">
        <v>49</v>
      </c>
      <c r="C51" s="51">
        <f>'2) Captura tus gastos'!B40</f>
        <v>0</v>
      </c>
      <c r="D51" s="72" t="s">
        <v>95</v>
      </c>
      <c r="E51" s="72"/>
      <c r="F51" s="72"/>
      <c r="G51" s="72"/>
      <c r="H51" s="72"/>
      <c r="I51" s="72"/>
      <c r="J51" s="72"/>
      <c r="K51" s="72"/>
      <c r="L51" s="26"/>
      <c r="M51" s="26"/>
      <c r="N51" s="39"/>
      <c r="O51" s="39"/>
      <c r="P51" s="39"/>
      <c r="Q51" s="39"/>
      <c r="R51" s="38"/>
      <c r="S51" s="38"/>
      <c r="T51" s="38"/>
      <c r="U51" s="38"/>
    </row>
    <row r="52" spans="1:21" x14ac:dyDescent="0.2">
      <c r="A52" s="6">
        <v>2</v>
      </c>
      <c r="B52" s="50" t="s">
        <v>53</v>
      </c>
      <c r="C52" s="51">
        <f>'2) Captura tus gastos'!B44</f>
        <v>0</v>
      </c>
      <c r="D52" s="72" t="s">
        <v>95</v>
      </c>
      <c r="E52" s="72"/>
      <c r="F52" s="72"/>
      <c r="G52" s="72"/>
      <c r="H52" s="72"/>
      <c r="I52" s="72"/>
      <c r="J52" s="72"/>
      <c r="K52" s="72"/>
      <c r="L52" s="26"/>
      <c r="M52" s="26"/>
      <c r="N52" s="39"/>
      <c r="O52" s="39"/>
      <c r="P52" s="39"/>
      <c r="Q52" s="39"/>
      <c r="R52" s="38"/>
      <c r="S52" s="38"/>
      <c r="T52" s="38"/>
      <c r="U52" s="38"/>
    </row>
    <row r="53" spans="1:21" x14ac:dyDescent="0.2">
      <c r="A53" s="6">
        <v>2</v>
      </c>
      <c r="B53" s="50" t="s">
        <v>61</v>
      </c>
      <c r="C53" s="51">
        <f>'2) Captura tus gastos'!B52</f>
        <v>0</v>
      </c>
      <c r="D53" s="72" t="s">
        <v>95</v>
      </c>
      <c r="E53" s="72"/>
      <c r="F53" s="72"/>
      <c r="G53" s="72"/>
      <c r="H53" s="72"/>
      <c r="I53" s="72"/>
      <c r="J53" s="72"/>
      <c r="K53" s="72"/>
      <c r="L53" s="7"/>
      <c r="M53" s="7"/>
      <c r="N53" s="24"/>
      <c r="O53" s="24"/>
      <c r="P53" s="24"/>
      <c r="Q53" s="24"/>
    </row>
    <row r="54" spans="1:21" x14ac:dyDescent="0.2">
      <c r="A54" s="6">
        <v>3</v>
      </c>
      <c r="B54" s="46" t="s">
        <v>29</v>
      </c>
      <c r="C54" s="47">
        <f>'2) Captura tus gastos'!B20</f>
        <v>0</v>
      </c>
      <c r="D54" s="66" t="s">
        <v>81</v>
      </c>
      <c r="E54" s="66"/>
      <c r="F54" s="66"/>
      <c r="G54" s="66"/>
      <c r="H54" s="66"/>
      <c r="I54" s="66"/>
      <c r="J54" s="66"/>
      <c r="K54" s="66"/>
      <c r="L54" s="7"/>
      <c r="M54" s="7"/>
      <c r="N54" s="6"/>
      <c r="O54" s="8"/>
      <c r="P54" s="8"/>
      <c r="Q54" s="8"/>
    </row>
    <row r="55" spans="1:21" x14ac:dyDescent="0.2">
      <c r="A55" s="6">
        <v>3</v>
      </c>
      <c r="B55" s="46" t="s">
        <v>33</v>
      </c>
      <c r="C55" s="47">
        <f>'2) Captura tus gastos'!B24</f>
        <v>0</v>
      </c>
      <c r="D55" s="66" t="s">
        <v>81</v>
      </c>
      <c r="E55" s="66"/>
      <c r="F55" s="66"/>
      <c r="G55" s="66"/>
      <c r="H55" s="66"/>
      <c r="I55" s="66"/>
      <c r="J55" s="66"/>
      <c r="K55" s="66"/>
      <c r="L55" s="7"/>
      <c r="M55" s="7"/>
      <c r="N55" s="6"/>
      <c r="O55" s="8"/>
      <c r="P55" s="8"/>
      <c r="Q55" s="8"/>
    </row>
    <row r="56" spans="1:21" x14ac:dyDescent="0.2">
      <c r="A56" s="6">
        <v>3</v>
      </c>
      <c r="B56" s="46" t="s">
        <v>63</v>
      </c>
      <c r="C56" s="47">
        <f>'2) Captura tus gastos'!B54</f>
        <v>0</v>
      </c>
      <c r="D56" s="66" t="s">
        <v>81</v>
      </c>
      <c r="E56" s="66"/>
      <c r="F56" s="66"/>
      <c r="G56" s="66"/>
      <c r="H56" s="66"/>
      <c r="I56" s="66"/>
      <c r="J56" s="66"/>
      <c r="K56" s="66"/>
      <c r="L56" s="7"/>
      <c r="M56" s="7"/>
      <c r="N56" s="6"/>
      <c r="O56" s="8"/>
      <c r="P56" s="8"/>
      <c r="Q56" s="8"/>
    </row>
    <row r="57" spans="1:21" x14ac:dyDescent="0.2">
      <c r="A57" s="6">
        <v>4</v>
      </c>
      <c r="B57" s="52" t="s">
        <v>25</v>
      </c>
      <c r="C57" s="53">
        <f>'2) Captura tus gastos'!B16</f>
        <v>0</v>
      </c>
      <c r="D57" s="71" t="s">
        <v>82</v>
      </c>
      <c r="E57" s="71"/>
      <c r="F57" s="71"/>
      <c r="G57" s="71"/>
      <c r="H57" s="71"/>
      <c r="I57" s="71"/>
      <c r="J57" s="71"/>
      <c r="K57" s="71"/>
      <c r="L57" s="7"/>
      <c r="M57" s="7"/>
      <c r="N57" s="6"/>
      <c r="O57" s="8"/>
      <c r="P57" s="8"/>
      <c r="Q57" s="8"/>
    </row>
    <row r="58" spans="1:21" x14ac:dyDescent="0.2">
      <c r="A58" s="6">
        <v>4</v>
      </c>
      <c r="B58" s="52" t="s">
        <v>27</v>
      </c>
      <c r="C58" s="53">
        <f>'2) Captura tus gastos'!B18</f>
        <v>0</v>
      </c>
      <c r="D58" s="71" t="s">
        <v>82</v>
      </c>
      <c r="E58" s="71"/>
      <c r="F58" s="71"/>
      <c r="G58" s="71"/>
      <c r="H58" s="71"/>
      <c r="I58" s="71"/>
      <c r="J58" s="71"/>
      <c r="K58" s="71"/>
      <c r="L58" s="7"/>
      <c r="M58" s="7"/>
      <c r="N58" s="6"/>
      <c r="O58" s="8"/>
      <c r="P58" s="8"/>
      <c r="Q58" s="8"/>
    </row>
    <row r="59" spans="1:21" x14ac:dyDescent="0.2">
      <c r="A59" s="6">
        <v>4</v>
      </c>
      <c r="B59" s="52" t="s">
        <v>43</v>
      </c>
      <c r="C59" s="53">
        <f>'2) Captura tus gastos'!B34</f>
        <v>0</v>
      </c>
      <c r="D59" s="71" t="s">
        <v>82</v>
      </c>
      <c r="E59" s="71"/>
      <c r="F59" s="71"/>
      <c r="G59" s="71"/>
      <c r="H59" s="71"/>
      <c r="I59" s="71"/>
      <c r="J59" s="71"/>
      <c r="K59" s="71"/>
      <c r="L59" s="7"/>
      <c r="M59" s="7"/>
      <c r="N59" s="6"/>
      <c r="O59" s="8"/>
      <c r="P59" s="8"/>
      <c r="Q59" s="8"/>
    </row>
    <row r="60" spans="1:21" x14ac:dyDescent="0.2">
      <c r="A60" s="6">
        <v>4</v>
      </c>
      <c r="B60" s="52" t="s">
        <v>47</v>
      </c>
      <c r="C60" s="53">
        <f>'2) Captura tus gastos'!B38</f>
        <v>0</v>
      </c>
      <c r="D60" s="71" t="s">
        <v>82</v>
      </c>
      <c r="E60" s="71"/>
      <c r="F60" s="71"/>
      <c r="G60" s="71"/>
      <c r="H60" s="71"/>
      <c r="I60" s="71"/>
      <c r="J60" s="71"/>
      <c r="K60" s="71"/>
      <c r="L60" s="7"/>
      <c r="M60" s="7"/>
      <c r="N60" s="6"/>
      <c r="O60" s="8"/>
      <c r="P60" s="8"/>
      <c r="Q60" s="8"/>
    </row>
    <row r="61" spans="1:21" x14ac:dyDescent="0.2">
      <c r="A61" s="6">
        <v>4</v>
      </c>
      <c r="B61" s="52" t="s">
        <v>51</v>
      </c>
      <c r="C61" s="53">
        <f>'2) Captura tus gastos'!B42</f>
        <v>0</v>
      </c>
      <c r="D61" s="71" t="s">
        <v>82</v>
      </c>
      <c r="E61" s="71"/>
      <c r="F61" s="71"/>
      <c r="G61" s="71"/>
      <c r="H61" s="71"/>
      <c r="I61" s="71"/>
      <c r="J61" s="71"/>
      <c r="K61" s="71"/>
      <c r="L61" s="7"/>
      <c r="M61" s="7"/>
      <c r="N61" s="6"/>
      <c r="O61" s="8"/>
      <c r="P61" s="8"/>
      <c r="Q61" s="8"/>
    </row>
    <row r="62" spans="1:21" x14ac:dyDescent="0.2">
      <c r="A62" s="6">
        <v>5</v>
      </c>
      <c r="B62" s="48" t="s">
        <v>45</v>
      </c>
      <c r="C62" s="49">
        <f>'2) Captura tus gastos'!B36</f>
        <v>0</v>
      </c>
      <c r="D62" s="73" t="s">
        <v>83</v>
      </c>
      <c r="E62" s="73"/>
      <c r="F62" s="73"/>
      <c r="G62" s="73"/>
      <c r="H62" s="73"/>
      <c r="I62" s="73"/>
      <c r="J62" s="73"/>
      <c r="K62" s="73"/>
      <c r="L62" s="7"/>
      <c r="M62" s="7"/>
      <c r="N62" s="6"/>
      <c r="O62" s="8"/>
      <c r="P62" s="8"/>
      <c r="Q62" s="8"/>
    </row>
    <row r="65" spans="2:11" ht="28" customHeight="1" x14ac:dyDescent="0.35">
      <c r="B65" s="74" t="s">
        <v>121</v>
      </c>
      <c r="C65" s="75"/>
      <c r="D65" s="75"/>
      <c r="E65" s="75"/>
      <c r="F65" s="75"/>
      <c r="G65" s="75"/>
      <c r="H65" s="75"/>
      <c r="I65" s="75"/>
      <c r="J65" s="75"/>
      <c r="K65" s="75"/>
    </row>
    <row r="66" spans="2:11" ht="28" customHeight="1" x14ac:dyDescent="0.2"/>
    <row r="67" spans="2:11" ht="28" customHeight="1" x14ac:dyDescent="0.25">
      <c r="B67" s="29" t="s">
        <v>122</v>
      </c>
      <c r="C67" s="29" t="s">
        <v>123</v>
      </c>
      <c r="D67" s="29" t="s">
        <v>124</v>
      </c>
      <c r="E67" s="76" t="s">
        <v>125</v>
      </c>
      <c r="F67" s="75"/>
      <c r="G67" s="75"/>
      <c r="H67" s="75"/>
      <c r="I67" s="75"/>
      <c r="J67" s="75"/>
      <c r="K67" s="75"/>
    </row>
    <row r="68" spans="2:11" ht="42" customHeight="1" x14ac:dyDescent="0.35">
      <c r="B68" s="44" t="s">
        <v>126</v>
      </c>
      <c r="C68" s="61">
        <f>P34</f>
        <v>0</v>
      </c>
      <c r="D68" s="44">
        <v>40</v>
      </c>
      <c r="E68" s="77" t="s">
        <v>127</v>
      </c>
      <c r="F68" s="75"/>
      <c r="G68" s="75"/>
      <c r="H68" s="75"/>
      <c r="I68" s="75"/>
      <c r="J68" s="75"/>
      <c r="K68" s="75"/>
    </row>
    <row r="69" spans="2:11" ht="42" customHeight="1" x14ac:dyDescent="0.35">
      <c r="B69" s="44" t="s">
        <v>128</v>
      </c>
      <c r="C69" s="61">
        <f>P35</f>
        <v>0</v>
      </c>
      <c r="D69" s="44">
        <v>40</v>
      </c>
      <c r="E69" s="77" t="s">
        <v>129</v>
      </c>
      <c r="F69" s="75"/>
      <c r="G69" s="75"/>
      <c r="H69" s="75"/>
      <c r="I69" s="75"/>
      <c r="J69" s="75"/>
      <c r="K69" s="75"/>
    </row>
    <row r="70" spans="2:11" ht="42" customHeight="1" x14ac:dyDescent="0.35">
      <c r="B70" s="44" t="s">
        <v>130</v>
      </c>
      <c r="C70" s="61">
        <f>P37</f>
        <v>0</v>
      </c>
      <c r="D70" s="44">
        <v>20</v>
      </c>
      <c r="E70" s="77" t="s">
        <v>131</v>
      </c>
      <c r="F70" s="75"/>
      <c r="G70" s="75"/>
      <c r="H70" s="75"/>
      <c r="I70" s="75"/>
      <c r="J70" s="75"/>
      <c r="K70" s="75"/>
    </row>
    <row r="71" spans="2:11" ht="28" customHeight="1" x14ac:dyDescent="0.2"/>
    <row r="72" spans="2:11" ht="28" customHeight="1" x14ac:dyDescent="0.35">
      <c r="B72" s="44" t="s">
        <v>132</v>
      </c>
      <c r="C72" s="61" t="str">
        <f>F5</f>
        <v>Sin datos</v>
      </c>
    </row>
    <row r="73" spans="2:11" ht="28" customHeight="1" x14ac:dyDescent="0.2"/>
    <row r="74" spans="2:11" ht="34" customHeight="1" x14ac:dyDescent="0.2">
      <c r="B74" s="62" t="s">
        <v>133</v>
      </c>
    </row>
    <row r="75" spans="2:11" ht="34" customHeight="1" x14ac:dyDescent="0.2">
      <c r="B75" s="77" t="s">
        <v>134</v>
      </c>
      <c r="C75" s="75"/>
      <c r="D75" s="75"/>
      <c r="E75" s="75"/>
      <c r="F75" s="75"/>
      <c r="G75" s="75"/>
      <c r="H75" s="75"/>
      <c r="I75" s="75"/>
      <c r="J75" s="75"/>
      <c r="K75" s="75"/>
    </row>
    <row r="76" spans="2:11" ht="34" customHeight="1" x14ac:dyDescent="0.2"/>
    <row r="77" spans="2:11" ht="34" customHeight="1" x14ac:dyDescent="0.2">
      <c r="B77" s="77" t="s">
        <v>135</v>
      </c>
      <c r="C77" s="75"/>
      <c r="D77" s="75"/>
      <c r="E77" s="75"/>
      <c r="F77" s="75"/>
      <c r="G77" s="75"/>
      <c r="H77" s="75"/>
      <c r="I77" s="75"/>
      <c r="J77" s="75"/>
      <c r="K77" s="75"/>
    </row>
    <row r="78" spans="2:11" ht="34" customHeight="1" x14ac:dyDescent="0.2"/>
    <row r="79" spans="2:11" ht="34" customHeight="1" x14ac:dyDescent="0.2">
      <c r="B79" s="77" t="s">
        <v>136</v>
      </c>
      <c r="C79" s="75"/>
      <c r="D79" s="75"/>
      <c r="E79" s="75"/>
      <c r="F79" s="75"/>
      <c r="G79" s="75"/>
      <c r="H79" s="75"/>
      <c r="I79" s="75"/>
      <c r="J79" s="75"/>
      <c r="K79" s="75"/>
    </row>
    <row r="80" spans="2:11" ht="34" customHeight="1" x14ac:dyDescent="0.2"/>
    <row r="81" spans="2:11" ht="34" customHeight="1" x14ac:dyDescent="0.2">
      <c r="B81" s="77" t="s">
        <v>137</v>
      </c>
      <c r="C81" s="75"/>
      <c r="D81" s="75"/>
      <c r="E81" s="75"/>
      <c r="F81" s="75"/>
      <c r="G81" s="75"/>
      <c r="H81" s="75"/>
      <c r="I81" s="75"/>
      <c r="J81" s="75"/>
      <c r="K81" s="75"/>
    </row>
    <row r="82" spans="2:11" ht="34" customHeight="1" x14ac:dyDescent="0.2"/>
    <row r="83" spans="2:11" ht="34" customHeight="1" x14ac:dyDescent="0.2">
      <c r="B83" s="77" t="s">
        <v>138</v>
      </c>
      <c r="C83" s="75"/>
      <c r="D83" s="75"/>
      <c r="E83" s="75"/>
      <c r="F83" s="75"/>
      <c r="G83" s="75"/>
      <c r="H83" s="75"/>
      <c r="I83" s="75"/>
      <c r="J83" s="75"/>
      <c r="K83" s="75"/>
    </row>
  </sheetData>
  <mergeCells count="38">
    <mergeCell ref="B75:K75"/>
    <mergeCell ref="B77:K77"/>
    <mergeCell ref="B79:K79"/>
    <mergeCell ref="B81:K81"/>
    <mergeCell ref="B83:K83"/>
    <mergeCell ref="B65:K65"/>
    <mergeCell ref="E67:K67"/>
    <mergeCell ref="E68:K68"/>
    <mergeCell ref="E69:K69"/>
    <mergeCell ref="E70:K70"/>
    <mergeCell ref="D58:K58"/>
    <mergeCell ref="D59:K59"/>
    <mergeCell ref="D60:K60"/>
    <mergeCell ref="D61:K61"/>
    <mergeCell ref="D62:K62"/>
    <mergeCell ref="D57:K57"/>
    <mergeCell ref="D46:K46"/>
    <mergeCell ref="D47:K47"/>
    <mergeCell ref="D48:K48"/>
    <mergeCell ref="D49:K49"/>
    <mergeCell ref="D50:K50"/>
    <mergeCell ref="D51:K51"/>
    <mergeCell ref="D52:K52"/>
    <mergeCell ref="D53:K53"/>
    <mergeCell ref="D54:K54"/>
    <mergeCell ref="D55:K55"/>
    <mergeCell ref="N25:O25"/>
    <mergeCell ref="N17:O17"/>
    <mergeCell ref="G14:J14"/>
    <mergeCell ref="K14:N14"/>
    <mergeCell ref="D56:K56"/>
    <mergeCell ref="D39:K39"/>
    <mergeCell ref="D40:K40"/>
    <mergeCell ref="D41:K41"/>
    <mergeCell ref="D42:K42"/>
    <mergeCell ref="D43:K43"/>
    <mergeCell ref="D44:K44"/>
    <mergeCell ref="D45:K45"/>
  </mergeCells>
  <conditionalFormatting sqref="F5">
    <cfRule type="expression" dxfId="2" priority="21">
      <formula>AND(ISNUMBER(F5),F5&gt;=85)</formula>
    </cfRule>
    <cfRule type="expression" dxfId="1" priority="22">
      <formula>AND(ISNUMBER(F5),F5&gt;=60,F5&lt;85)</formula>
    </cfRule>
    <cfRule type="expression" dxfId="0" priority="23">
      <formula>AND(ISNUMBER(F5),F5&lt;60)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Bienvenido</vt:lpstr>
      <vt:lpstr>1) Captura tus ingresos </vt:lpstr>
      <vt:lpstr>2) Captura tus gastos</vt:lpstr>
      <vt:lpstr>3)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Juan Carlo Morales Nevarez</cp:lastModifiedBy>
  <dcterms:created xsi:type="dcterms:W3CDTF">2022-12-06T18:28:51Z</dcterms:created>
  <dcterms:modified xsi:type="dcterms:W3CDTF">2026-10-20T22:23:04Z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2026-10-20T22:07:43Z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c7c1c02f-ac79-4b42-83a3-2480aa897a28</vt:lpwstr>
  </property>
  <property fmtid="{D5CDD505-2E9C-101B-9397-08002B2CF9AE}" pid="8" name="MSIP_Label_8ae3a633-3d5f-462b-ba19-31157bb9a57b_ContentBits">
    <vt:lpwstr>0</vt:lpwstr>
  </property>
</Properties>
</file>